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README" sheetId="1" state="visible" r:id="rId3"/>
    <sheet name="Segment_Data" sheetId="2" state="visible" r:id="rId4"/>
    <sheet name="Category_Data" sheetId="3" state="visible" r:id="rId5"/>
    <sheet name="H1_2024_Phasing" sheetId="4" state="visible" r:id="rId6"/>
    <sheet name="Income_Statement" sheetId="5" state="visible" r:id="rId7"/>
    <sheet name="Cash_Flow_Statement" sheetId="6" state="visible" r:id="rId8"/>
    <sheet name="Assumptions_FY2025" sheetId="7" state="visible" r:id="rId9"/>
    <sheet name="Budget_FY2025_PL_CF"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<sst xmlns="http://schemas.openxmlformats.org/spreadsheetml/2006/main" count="257" uniqueCount="212">
  <si>
    <t xml:space="preserve">Nestlé FP&amp;A Case Study — Data Foundation</t>
  </si>
  <si>
    <t xml:space="preserve">Purpose</t>
  </si>
  <si>
    <t xml:space="preserve">This workbook is Step 1 (Data Foundation) of an end-to-end FP&amp;A portfolio project. It compiles Nestlé's real, publicly disclosed segment and product-category financials (FY2021–FY2024, plus H1-2024 phasing) into a clean structure that Steps 2–6 (Budget Model, Actuals, Variance Analysis, Dashboard, Business Case) will build on.</t>
  </si>
  <si>
    <t xml:space="preserve">Sheets in this workbook</t>
  </si>
  <si>
    <t xml:space="preserve">• Segment_Data — Sales &amp; Underlying Trading Operating Profit (UTOP) by reporting segment (5 geographic Zones + Nespresso + Nestlé Health Science + Other Businesses), FY2021–FY2024, with the organic growth bridge (RIG / Pricing / Net M&amp;A / FX) for FY2022 and FY2024.</t>
  </si>
  <si>
    <t xml:space="preserve">• Category_Data — Sales &amp; UTOP by product category (7 categories: Powdered &amp; liquid beverages, Water, Milk products &amp; ice cream, Nutrition &amp; Health Science, Prepared dishes &amp; cooking aids, Confectionery, PetCare), FY2021–FY2024.</t>
  </si>
  <si>
    <t xml:space="preserve">• H1_2024_Phasing — Half-year split of segment sales &amp; UTOP for 2023 and 2024 (H1 actual, H2 derived as FY minus H1) — the base for building monthly/quarterly phasing in the Budget Model step.</t>
  </si>
  <si>
    <t xml:space="preserve">• Income_Statement — Full consolidated Income Statement, line by line (Sales, Other revenue, COGS, Distribution expenses, Marketing &amp; admin expenses, R&amp;D costs, Other trading/operating income &amp; expenses, Financial income/expense, Income from associates &amp; JVs, Taxes, NCI), FY2021–FY2024, with every subtotal (UTOP, Trading Operating Profit, Operating Profit, PBT, Profit for the Year, Net Profit) computed by formula from the disclosed line items above it — never hardcoded.</t>
  </si>
  <si>
    <t xml:space="preserve">• Cash_Flow_Statement — Full consolidated Statement of Cash Flows, line by line across Operating, Investing and Financing activities plus the cash reconciliation and a Free Cash Flow memo, FY2021–FY2024, with every subtotal (Cash Generated from Operations, Operating/Investing/Financing Cash Flow) computed by formula.</t>
  </si>
  <si>
    <t xml:space="preserve">• Assumptions_FY2025 — FY2025 budget assumptions (organic growth, FX, UTOP margin, tax rate, FCF margin, share count), each cited to Nestlé's own FY2025 guidance where available, or flagged as an explicit own-assumption where not. Yellow cells are the editable scenario levers.</t>
  </si>
  <si>
    <t xml:space="preserve">• Budget_FY2025_PL_CF — FY2025 Budget vs FY2024 Actual (Sales → UTOP → PBT → Net Profit, plus Free Cash Flow), fully driven by the Assumptions_FY2025 sheet. Built from guidance disclosed BEFORE FY2025 actual results were known — sets up Step 4 (Variance Analysis) of this project.</t>
  </si>
  <si>
    <t xml:space="preserve">Data sources</t>
  </si>
  <si>
    <t xml:space="preserve">• Nestlé Full-Year Results 2024 press release (13 Feb 2025) — FY2024 vs FY2023 segment &amp; category data — https://www.nestle.com/sites/default/files/2025-02/full-year-results-press-release-2024-en.pdf</t>
  </si>
  <si>
    <t xml:space="preserve">• Nestlé Full-Year Results 2022 press release (16 Feb 2023) — FY2022 vs FY2021 (restated) segment &amp; category data — https://www.nestle.com/sites/default/files/2023-02/2022-full-year-results-press-release-en.pdf</t>
  </si>
  <si>
    <t xml:space="preserve">• Nestlé Half-Year Results 2024 press release (25 Jul 2024) — H1-2024 vs H1-2023 segment &amp; category data — https://www.nestle.com/media/pressreleases/allpressreleases/half-year-results-2024</t>
  </si>
  <si>
    <t xml:space="preserve">• Nestlé Full-Year Results 2021 and 2022 press releases (17 Feb 2022 / 16 Feb 2023) — Group net profit, EPS, net financial expenses, tax rate, operating cash flow, free cash flow, net debt — https://www.nestle.com/media/pressreleases/allpressreleases/full-year-results-2021 and https://www.globenewswire.com/news-release/2023/02/16/2609327/0/en/Nestl%C3%A9-reports-full-year-results-for-2022.html</t>
  </si>
  <si>
    <t xml:space="preserve">Important notes</t>
  </si>
  <si>
    <t xml:space="preserve">• Figures are as originally reported for each fiscal year (5-Zone structure: North America, Europe, AOA, Latin America, Greater China, plus Nespresso, Nestlé Health Science and Other Businesses). From 1 Jan 2025 Nestlé moved to a 3-Zone structure (Americas, Europe, AOA) with Waters &amp; Premium Beverages as a separate global business — that restructuring is NOT reflected here since it postdates FY2024 reporting.</t>
  </si>
  <si>
    <t xml:space="preserve">• FY2021 and FY2022 RIG/Pricing/Organic growth/Net M&amp;A/FX figures exclude Russia, per Nestlé's own disclosure footnote for those years.</t>
  </si>
  <si>
    <t xml:space="preserve">• "Underlying Trading Operating Profit" (UTOP) is Nestlé's key segment profitability metric — broadly comparable to a segment EBIT before restructuring and one-off items.</t>
  </si>
  <si>
    <t xml:space="preserve">• All monetary figures are in CHF million unless stated otherwise. Blue cells = hardcoded inputs sourced from the press releases above. Black cells = formulas (margins, YoY growth, H2 derivation).</t>
  </si>
  <si>
    <t xml:space="preserve">• Income_Statement / Cash_Flow_Statement sheets: sourced from Nestlé's full Financial Statements documents (not the condensed press releases used for Segment_Data/Category_Data) for full line-item detail. FY2022's 'Cash generated from operations' section reflects the "Decrease/(increase) in working capital" and "Variation of other operating assets and liabilities" lines as disclosed that year. The 'Free Cash Flow (derived)' row will not tie exactly to Nestlé's own reported FCF figure — this is flagged on the Cash_Flow_Statement sheet, not hidden.</t>
  </si>
  <si>
    <t xml:space="preserve">Nestlé — Segment Sales &amp; Profitability, FY2021–FY2024 (CHF m unless %)</t>
  </si>
  <si>
    <t xml:space="preserve">Segment</t>
  </si>
  <si>
    <t xml:space="preserve">FY2021 Sales</t>
  </si>
  <si>
    <t xml:space="preserve">FY2022 Sales</t>
  </si>
  <si>
    <t xml:space="preserve">FY2023 Sales</t>
  </si>
  <si>
    <t xml:space="preserve">FY2024 Sales</t>
  </si>
  <si>
    <t xml:space="preserve">FY22 Sales YoY</t>
  </si>
  <si>
    <t xml:space="preserve">FY23 Sales YoY</t>
  </si>
  <si>
    <t xml:space="preserve">FY24 Sales YoY</t>
  </si>
  <si>
    <t xml:space="preserve">FY2021 UTOP</t>
  </si>
  <si>
    <t xml:space="preserve">FY2022 UTOP</t>
  </si>
  <si>
    <t xml:space="preserve">FY2023 UTOP</t>
  </si>
  <si>
    <t xml:space="preserve">FY2024 UTOP</t>
  </si>
  <si>
    <t xml:space="preserve">FY2021 UTOP Margin</t>
  </si>
  <si>
    <t xml:space="preserve">FY2022 UTOP Margin</t>
  </si>
  <si>
    <t xml:space="preserve">FY2023 UTOP Margin</t>
  </si>
  <si>
    <t xml:space="preserve">FY2024 UTOP Margin</t>
  </si>
  <si>
    <t xml:space="preserve">FY22 RIG</t>
  </si>
  <si>
    <t xml:space="preserve">FY22 Pricing</t>
  </si>
  <si>
    <t xml:space="preserve">FY22 Organic Gr.</t>
  </si>
  <si>
    <t xml:space="preserve">FY22 Net M&amp;A</t>
  </si>
  <si>
    <t xml:space="preserve">FY22 FX</t>
  </si>
  <si>
    <t xml:space="preserve">FY24 RIG</t>
  </si>
  <si>
    <t xml:space="preserve">FY24 Pricing</t>
  </si>
  <si>
    <t xml:space="preserve">FY24 Organic Gr.</t>
  </si>
  <si>
    <t xml:space="preserve">FY24 Net M&amp;A</t>
  </si>
  <si>
    <t xml:space="preserve">FY24 FX</t>
  </si>
  <si>
    <t xml:space="preserve">Zone North America</t>
  </si>
  <si>
    <t xml:space="preserve">Zone Europe</t>
  </si>
  <si>
    <t xml:space="preserve">Zone AOA</t>
  </si>
  <si>
    <t xml:space="preserve">Zone Latin America</t>
  </si>
  <si>
    <t xml:space="preserve">Zone Greater China</t>
  </si>
  <si>
    <t xml:space="preserve">Nestlé Health Science</t>
  </si>
  <si>
    <t xml:space="preserve">Nespresso</t>
  </si>
  <si>
    <t xml:space="preserve">Other Businesses</t>
  </si>
  <si>
    <t xml:space="preserve">Total Group</t>
  </si>
  <si>
    <t xml:space="preserve">Source: Nestlé Full-Year Results press releases 2022 and 2024 (see README for links). FY21/FY22 RIG/Pricing/OG/M&amp;A/FX exclude Russia.</t>
  </si>
  <si>
    <t xml:space="preserve">Note: Segment UTOP figures sum to more than the Group Total UTOP shown above — this is expected. Nestlé's Group total nets off unallocated central costs and eliminations that are not broken out by segment in the summary disclosure, so the Total row uses the company's reported Group figure directly rather than a SUM of segments.</t>
  </si>
  <si>
    <t xml:space="preserve">Nestlé — Sales &amp; Profitability by Product Category, FY2021–FY2024 (CHF m unless %)</t>
  </si>
  <si>
    <t xml:space="preserve">Category</t>
  </si>
  <si>
    <t xml:space="preserve">Powdered &amp; liquid beverages</t>
  </si>
  <si>
    <t xml:space="preserve">Water</t>
  </si>
  <si>
    <t xml:space="preserve">Milk products &amp; ice cream</t>
  </si>
  <si>
    <t xml:space="preserve">Nutrition &amp; Health Science</t>
  </si>
  <si>
    <t xml:space="preserve">Prepared dishes &amp; cooking aids</t>
  </si>
  <si>
    <t xml:space="preserve">Confectionery</t>
  </si>
  <si>
    <t xml:space="preserve">PetCare</t>
  </si>
  <si>
    <t xml:space="preserve">Source: Nestlé Full-Year Results press releases 2022 and 2024 (see README for links).</t>
  </si>
  <si>
    <t xml:space="preserve">Note: as with the segment view, category UTOP figures sum to more than Group Total UTOP because unallocated central costs are not broken out by category. The Total row uses Nestlé's reported Group figure directly.</t>
  </si>
  <si>
    <t xml:space="preserve">Nestlé — H1/H2 Phasing by Segment, 2023 vs 2024 (CHF m)</t>
  </si>
  <si>
    <t xml:space="preserve">H2 = Full Year minus H1 (formula). Use this split as the seasonality baseline when building monthly/quarterly phasing in the Budget Model.</t>
  </si>
  <si>
    <t xml:space="preserve">H1-2023 Sales</t>
  </si>
  <si>
    <t xml:space="preserve">H2-2023 Sales (derived)</t>
  </si>
  <si>
    <t xml:space="preserve">H1-2024 Sales</t>
  </si>
  <si>
    <t xml:space="preserve">H2-2024 Sales (derived)</t>
  </si>
  <si>
    <t xml:space="preserve">H1-2023 UTOP</t>
  </si>
  <si>
    <t xml:space="preserve">H2-2023 UTOP (derived)</t>
  </si>
  <si>
    <t xml:space="preserve">H1-2024 UTOP</t>
  </si>
  <si>
    <t xml:space="preserve">H2-2024 UTOP (derived)</t>
  </si>
  <si>
    <t xml:space="preserve">H2-2024 vs H2-2023 Sales Growth</t>
  </si>
  <si>
    <t xml:space="preserve">Source: Nestlé Half-Year Results 2024 press release (H1 actuals); FY figures linked from Segment_Data sheet (green = cross-sheet link). Total Group UTOP row uses reported Group figures directly (see Segment_Data note on unallocated central costs).</t>
  </si>
  <si>
    <t xml:space="preserve">Nestlé Group — Consolidated Income Statement, FY2021–FY2024 (CHF million unless per-share)</t>
  </si>
  <si>
    <t xml:space="preserve">Line Item</t>
  </si>
  <si>
    <t xml:space="preserve">FY2021</t>
  </si>
  <si>
    <t xml:space="preserve">FY2022</t>
  </si>
  <si>
    <t xml:space="preserve">FY2023</t>
  </si>
  <si>
    <t xml:space="preserve">FY2024</t>
  </si>
  <si>
    <t xml:space="preserve">Sales</t>
  </si>
  <si>
    <t xml:space="preserve">Other revenue</t>
  </si>
  <si>
    <t xml:space="preserve">Cost of goods sold</t>
  </si>
  <si>
    <t xml:space="preserve">Distribution expenses</t>
  </si>
  <si>
    <t xml:space="preserve">Marketing and administration expenses</t>
  </si>
  <si>
    <t xml:space="preserve">Research and development costs</t>
  </si>
  <si>
    <t xml:space="preserve">Underlying Trading Operating Profit (UTOP)*</t>
  </si>
  <si>
    <t xml:space="preserve">Other trading income</t>
  </si>
  <si>
    <t xml:space="preserve">Other trading expenses</t>
  </si>
  <si>
    <t xml:space="preserve">Trading Operating Profit</t>
  </si>
  <si>
    <t xml:space="preserve">Other operating income</t>
  </si>
  <si>
    <t xml:space="preserve">Other operating expenses</t>
  </si>
  <si>
    <t xml:space="preserve">Operating Profit</t>
  </si>
  <si>
    <t xml:space="preserve">Financial income</t>
  </si>
  <si>
    <t xml:space="preserve">Financial expense</t>
  </si>
  <si>
    <t xml:space="preserve">Net Financial Income/(Expense)</t>
  </si>
  <si>
    <t xml:space="preserve">Profit Before Taxes, Associates and Joint Ventures</t>
  </si>
  <si>
    <t xml:space="preserve">Income from associates and joint ventures</t>
  </si>
  <si>
    <t xml:space="preserve">Taxes</t>
  </si>
  <si>
    <t xml:space="preserve">Profit for the Year</t>
  </si>
  <si>
    <t xml:space="preserve">Of which: non-controlling interests</t>
  </si>
  <si>
    <t xml:space="preserve">Net Profit (attributable to shareholders of the parent)</t>
  </si>
  <si>
    <t xml:space="preserve">UTOP Margin</t>
  </si>
  <si>
    <t xml:space="preserve">Trading Operating Profit Margin</t>
  </si>
  <si>
    <t xml:space="preserve">Operating Profit Margin</t>
  </si>
  <si>
    <t xml:space="preserve">Net Profit Margin</t>
  </si>
  <si>
    <t xml:space="preserve">Effective Tax Rate (Taxes ÷ PBT)</t>
  </si>
  <si>
    <t xml:space="preserve">Basic earnings per share (CHF)</t>
  </si>
  <si>
    <t xml:space="preserve">Diluted earnings per share (CHF)</t>
  </si>
  <si>
    <t xml:space="preserve">* "Underlying Trading Operating Profit" (UTOP) is Nestlé's own key profitability KPI. It is not printed as an explicit line in the statutory income statement, but is fully derivable as Sales + Other revenue − Cost of goods sold − Distribution expenses − Marketing &amp; administration expenses − Research &amp; development costs (computed here as a formula, not hardcoded) — it ties exactly to the UTOP figures Nestlé discloses separately (e.g. FY2024: CHF 15,704m, 17.2% margin).</t>
  </si>
  <si>
    <t xml:space="preserve">Sources: Nestlé Financial Statements 2024 (published 13-Feb-2025) for FY2024 and FY2023 — https://www.nestle.com/sites/default/files/2025-02/2024-financial-statements-en.pdf ; Nestlé Financial Statements 2022 (published 16-Feb-2023) for FY2022 and FY2021 — https://www.nestle.com/sites/default/files/2023-02/2022-financial-statements-en.pdf</t>
  </si>
  <si>
    <t xml:space="preserve">Shaded rows are subtotals computed by formula from the line items above them — never hardcoded — so every number here is traceable back to a disclosed line item.</t>
  </si>
  <si>
    <t xml:space="preserve">FY2021's unusually high Net Profit (CHF 16,905m) and 'Income from associates and joint ventures' (CHF 8,651m) reflect the one-off gain on Nestlé's disposal of part of its L'Oréal stake in 2021, not a recurring item.</t>
  </si>
  <si>
    <t xml:space="preserve">Nestlé Group — Consolidated Statement of Cash Flows, FY2021–FY2024 (CHF million)</t>
  </si>
  <si>
    <t xml:space="preserve">OPERATING ACTIVITIES</t>
  </si>
  <si>
    <t xml:space="preserve">Operating Profit (linked from Income_Statement)</t>
  </si>
  <si>
    <t xml:space="preserve">Depreciation and amortization</t>
  </si>
  <si>
    <t xml:space="preserve">Impairment</t>
  </si>
  <si>
    <t xml:space="preserve">Net result on disposal of businesses</t>
  </si>
  <si>
    <t xml:space="preserve">Other non-cash items of income and expense</t>
  </si>
  <si>
    <t xml:space="preserve">Cash Flow Before Changes in Operating Assets and Liabilities</t>
  </si>
  <si>
    <t xml:space="preserve">Decrease/(increase) in working capital</t>
  </si>
  <si>
    <t xml:space="preserve">Variation of other operating assets and liabilities</t>
  </si>
  <si>
    <t xml:space="preserve">Cash Generated from Operations</t>
  </si>
  <si>
    <t xml:space="preserve">Interest paid</t>
  </si>
  <si>
    <t xml:space="preserve">Interest and dividends received</t>
  </si>
  <si>
    <t xml:space="preserve">Taxes paid</t>
  </si>
  <si>
    <t xml:space="preserve">Dividends and interest from associates and joint ventures</t>
  </si>
  <si>
    <t xml:space="preserve">Operating Cash Flow</t>
  </si>
  <si>
    <t xml:space="preserve">INVESTING ACTIVITIES</t>
  </si>
  <si>
    <t xml:space="preserve">Capital expenditure</t>
  </si>
  <si>
    <t xml:space="preserve">Expenditure on intangible assets</t>
  </si>
  <si>
    <t xml:space="preserve">Acquisition of businesses, net of cash acquired</t>
  </si>
  <si>
    <t xml:space="preserve">Disposal of businesses, net of cash disposed of</t>
  </si>
  <si>
    <t xml:space="preserve">Investments (net) in associates and joint ventures</t>
  </si>
  <si>
    <t xml:space="preserve">Divestments in associates and joint ventures</t>
  </si>
  <si>
    <t xml:space="preserve">Inflows/(outflows) from treasury investments</t>
  </si>
  <si>
    <t xml:space="preserve">Other investing activities</t>
  </si>
  <si>
    <t xml:space="preserve">Investing Cash Flow</t>
  </si>
  <si>
    <t xml:space="preserve">FINANCING ACTIVITIES</t>
  </si>
  <si>
    <t xml:space="preserve">Dividend paid to shareholders of the parent</t>
  </si>
  <si>
    <t xml:space="preserve">Dividends paid to non-controlling interests</t>
  </si>
  <si>
    <t xml:space="preserve">Acquisition of non-controlling interests</t>
  </si>
  <si>
    <t xml:space="preserve">Purchase of treasury shares</t>
  </si>
  <si>
    <t xml:space="preserve">Inflows from bonds and other long-term financial debt</t>
  </si>
  <si>
    <t xml:space="preserve">Outflows from bonds, lease liabilities and other long-term financial debt</t>
  </si>
  <si>
    <t xml:space="preserve">Inflows/(outflows) from short-term financial debt</t>
  </si>
  <si>
    <t xml:space="preserve">Financing Cash Flow</t>
  </si>
  <si>
    <t xml:space="preserve">CASH RECONCILIATION</t>
  </si>
  <si>
    <t xml:space="preserve">Currency retranslations</t>
  </si>
  <si>
    <t xml:space="preserve">Increase/(Decrease) in Cash and Cash Equivalents</t>
  </si>
  <si>
    <t xml:space="preserve">Cash and cash equivalents at beginning of year</t>
  </si>
  <si>
    <t xml:space="preserve">Cash and Cash Equivalents at End of Year</t>
  </si>
  <si>
    <t xml:space="preserve">Cash and cash equivalents classified as held for sale</t>
  </si>
  <si>
    <t xml:space="preserve">Cash and Cash Equivalents per Balance Sheet</t>
  </si>
  <si>
    <t xml:space="preserve">MEMO: FREE CASH FLOW</t>
  </si>
  <si>
    <t xml:space="preserve">Free Cash Flow (as reported by Nestlé)</t>
  </si>
  <si>
    <t xml:space="preserve">Free Cash Flow (derived: Operating CF − Capex − Intangible capex)</t>
  </si>
  <si>
    <t xml:space="preserve">Free Cash Flow Margin (reported FCF ÷ Sales)</t>
  </si>
  <si>
    <t xml:space="preserve">Sources: Nestlé Financial Statements 2024 (13-Feb-2025) for FY2024/FY2023, and Nestlé Financial Statements 2022 (16-Feb-2023) for FY2022/FY2021 — same two documents cited on the Income_Statement sheet.</t>
  </si>
  <si>
    <t xml:space="preserve">"Free Cash Flow (as reported by Nestlé)" is the company's own headline FCF figure quoted in its results press releases. "Free Cash Flow (derived)" is a from-first-principles calculation (Operating Cash Flow − Capex − Intangible capex) using only the line items above — the two do not tie out exactly (Nestlé's own FCF definition includes some additional adjustments not separately disclosed), which is normal and is flagged here rather than silently forced to match.</t>
  </si>
  <si>
    <t xml:space="preserve">Shaded rows are subtotals computed by formula, never hardcoded, so every subtotal is traceable to a disclosed line item.</t>
  </si>
  <si>
    <t xml:space="preserve">"Divestments in associates and joint ventures" (CHF 9,294m in FY2021 only) reflects the one-off partial disposal of Nestlé's L'Oréal stake — see the matching note on the Income_Statement sheet.</t>
  </si>
  <si>
    <t xml:space="preserve">Nestlé — FY2025 Budget Assumptions</t>
  </si>
  <si>
    <t xml:space="preserve">Driver</t>
  </si>
  <si>
    <t xml:space="preserve">FY2025 Assumption</t>
  </si>
  <si>
    <t xml:space="preserve">Source / Rationale</t>
  </si>
  <si>
    <t xml:space="preserve">Organic Sales Growth</t>
  </si>
  <si>
    <t xml:space="preserve">Nestlé FY2025 guidance (Full-Year Results 2024 press release, 13-Feb-2025): "organic sales growth is expected to improve compared to 2024, strengthening through the year" (FY2024 organic growth was 2.2%). 3.0% is used here as an illustrative point assumption within that guided range — Nestlé did not disclose a precise FY2025 organic growth number.</t>
  </si>
  <si>
    <t xml:space="preserve">Net M&amp;A Impact</t>
  </si>
  <si>
    <t xml:space="preserve">No acquisition/divestment guidance was disclosed for FY2025 in the FY2024 results press release; assumed neutral (0.0%), consistent with FY2024's own -0.3% being a minor, non-recurring item.</t>
  </si>
  <si>
    <t xml:space="preserve">Foreign Exchange (FX) Impact</t>
  </si>
  <si>
    <t xml:space="preserve">FY2025 guidance states it "assumes no significant change in key macroeconomic variables" — interpreted here as a flat (0.0%) FX assumption. In practice Nestlé's FX impact has been materially negative in FY2022-FY2024 (Swiss Franc strength), so this is a simplifying assumption, not a forecast of currency markets.</t>
  </si>
  <si>
    <t xml:space="preserve">→ Implied Reported Sales Growth</t>
  </si>
  <si>
    <t xml:space="preserve">Formula: Organic Sales Growth + Net M&amp;A Impact + FX Impact (not a separate input).</t>
  </si>
  <si>
    <t xml:space="preserve">Underlying Trading Operating Profit (UTOP) Margin</t>
  </si>
  <si>
    <t xml:space="preserve">Nestlé FY2025 guidance: UTOP margin "expected to be at or above 16.0% as we invest for growth", down from FY2024's reported 17.2%, reflecting a planned step-up in advertising &amp; marketing spend (guided to reach ~9% of sales by end-2025, from 8.1% in FY2024) and the ramp-up of the Fuel for Growth cost-savings programme. 16.5% is used as a midpoint scenario within the guided "16.0%+" range.</t>
  </si>
  <si>
    <t xml:space="preserve">Net Financial Expenses Growth (vs FY2024)</t>
  </si>
  <si>
    <t xml:space="preserve">Own assumption (not company guidance): Nestlé's net debt rose to CHF 56.0bn at FY2024 year-end (from CHF 49.6bn a year earlier) and the company stated it does not anticipate a new share buyback programme in 2025 — implying continued elevated net financial expenses. +5.0% growth vs FY2024's CHF 1.5bn is assumed as a reasonable continuation of the FY2023→FY2024 trend (+7.1%).</t>
  </si>
  <si>
    <t xml:space="preserve">Effective Tax Rate</t>
  </si>
  <si>
    <t xml:space="preserve">Own assumption: close to FY2024's reported tax rate of 25.0%, with modest normalization assumed as the one-off deferred-tax write-off that inflated the FY2024 rate is not expected to repeat. No FY2025 tax-rate guidance was disclosed by Nestlé.</t>
  </si>
  <si>
    <t xml:space="preserve">Free Cash Flow (FCF) Margin</t>
  </si>
  <si>
    <t xml:space="preserve">Own assumption: broadly in line with FY2024's 11.7% FCF margin, reflecting continued capital discipline under the Fuel for Growth programme, offset by the margin step-down (more cash absorbed by growth investment). No explicit FY2025 FCF guidance was disclosed by Nestlé.</t>
  </si>
  <si>
    <t xml:space="preserve">Shares Outstanding for EPS (million)</t>
  </si>
  <si>
    <t xml:space="preserve">FY2024 weighted-average basic shares implied by reported EPS (Net Profit CHF 10,884m ÷ EPS CHF 4.19 = ~2,598m), reduced by the 43.5 million shares the Board proposed for cancellation in 2025 (per the FY2024 results press release). No new buyback programme is planned for 2025 per guidance, so the share count is held flat aside from that already-announced cancellation.</t>
  </si>
  <si>
    <t xml:space="preserve">IMPORTANT: cells highlighted in yellow are the editable scenario assumptions. Change any of them and every figure in the Budget_FY2025_PL_CF sheet recalculates automatically.</t>
  </si>
  <si>
    <t xml:space="preserve">Nestlé Group — FY2025 Budget vs FY2024 Actual (Simplified P&amp;L + Free Cash Flow, CHF m unless % or per-share)</t>
  </si>
  <si>
    <t xml:space="preserve">Metric</t>
  </si>
  <si>
    <t xml:space="preserve">FY2024 Actual</t>
  </si>
  <si>
    <t xml:space="preserve">FY2025 Budget</t>
  </si>
  <si>
    <t xml:space="preserve">Budget YoY Growth</t>
  </si>
  <si>
    <t xml:space="preserve">Underlying Trading Operating Profit (UTOP)</t>
  </si>
  <si>
    <t xml:space="preserve">Net Financial Expenses</t>
  </si>
  <si>
    <t xml:space="preserve">Profit Before Tax (UTOP − Net Financial Expenses)*</t>
  </si>
  <si>
    <t xml:space="preserve">Implied Tax Expense (PBT × Tax Rate)</t>
  </si>
  <si>
    <t xml:space="preserve">Net Profit</t>
  </si>
  <si>
    <t xml:space="preserve">Basic EPS (CHF)</t>
  </si>
  <si>
    <t xml:space="preserve">Free Cash Flow</t>
  </si>
  <si>
    <t xml:space="preserve">FCF Margin</t>
  </si>
  <si>
    <t xml:space="preserve">* Profit Before Tax here follows a simplified bridge (UTOP − Net Financial Expenses only), excluding restructuring/other trading items — the Budget will not tie to a full consolidated income statement, by design (see Income_Statement and Cash_Flow_Statement notes).</t>
  </si>
  <si>
    <t xml:space="preserve">Column B ("FY2024 Actual") links directly to the Income_Statement and Cash_Flow_Statement sheets — it is not retyped.</t>
  </si>
  <si>
    <t xml:space="preserve">Column C ("FY2025 Budget") is entirely driven by the yellow assumption cells in Assumptions_FY2025 — change any assumption there and this whole sheet recalculates.</t>
  </si>
  <si>
    <t xml:space="preserve">This is a Budget built from Nestlé's own FY2025 guidance as disclosed on 13-Feb-2025, BEFORE FY2025 actual results were known — it deliberately does not use hindsight. Step 4 of this project (Variance Analysis) will compare this Budget against Nestlé's actual FY2025 results once published.</t>
  </si>
</sst>
</file>

<file path=xl/styles.xml><?xml version="1.0" encoding="utf-8"?>
<styleSheet xmlns="http://schemas.openxmlformats.org/spreadsheetml/2006/main">
  <numFmts count="5">
    <numFmt numFmtId="164" formatCode="General"/>
    <numFmt numFmtId="165" formatCode="#,##0;\(#,##0\);\-"/>
    <numFmt numFmtId="166" formatCode="0.0%;\(0.0%\);\-"/>
    <numFmt numFmtId="167" formatCode="0.00;\(0.00\);\-"/>
    <numFmt numFmtId="168" formatCode="#,##0.0"/>
  </numFmts>
  <fonts count="29">
    <font>
      <sz val="11"/>
      <color theme="1"/>
      <name val="Calibri"/>
      <family val="2"/>
      <charset val="1"/>
    </font>
    <font>
      <sz val="10"/>
      <name val="Arial"/>
      <family val="0"/>
    </font>
    <font>
      <sz val="10"/>
      <name val="Arial"/>
      <family val="0"/>
    </font>
    <font>
      <sz val="10"/>
      <name val="Arial"/>
      <family val="0"/>
    </font>
    <font>
      <sz val="11"/>
      <color theme="1"/>
      <name val="Arial"/>
      <family val="2"/>
      <charset val="1"/>
    </font>
    <font>
      <b val="true"/>
      <sz val="11"/>
      <color rgb="FF1F4B44"/>
      <name val="Arial"/>
      <family val="2"/>
      <charset val="1"/>
    </font>
    <font>
      <b val="true"/>
      <sz val="11"/>
      <name val="Arial"/>
      <family val="2"/>
      <charset val="1"/>
    </font>
    <font>
      <sz val="11"/>
      <color rgb="FF000000"/>
      <name val="Arial"/>
      <family val="2"/>
      <charset val="1"/>
    </font>
    <font>
      <sz val="11"/>
      <color rgb="FF000000"/>
      <name val="Cambria"/>
      <family val="0"/>
      <charset val="1"/>
    </font>
    <font>
      <i val="true"/>
      <sz val="11"/>
      <color rgb="FF666666"/>
      <name val="Arial"/>
      <family val="2"/>
      <charset val="1"/>
    </font>
    <font>
      <b val="true"/>
      <sz val="14"/>
      <color rgb="FF1F4B44"/>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sz val="10"/>
      <color rgb="FF000000"/>
      <name val="Arial"/>
      <family val="0"/>
      <charset val="1"/>
    </font>
    <font>
      <b val="true"/>
      <sz val="10"/>
      <color rgb="FF0000FF"/>
      <name val="Arial"/>
      <family val="0"/>
      <charset val="1"/>
    </font>
    <font>
      <i val="true"/>
      <sz val="8"/>
      <color rgb="FF666666"/>
      <name val="Arial"/>
      <family val="0"/>
      <charset val="1"/>
    </font>
    <font>
      <sz val="10"/>
      <color rgb="FF008000"/>
      <name val="Arial"/>
      <family val="0"/>
      <charset val="1"/>
    </font>
    <font>
      <b val="true"/>
      <sz val="10"/>
      <color rgb="FF008000"/>
      <name val="Arial"/>
      <family val="0"/>
      <charset val="1"/>
    </font>
    <font>
      <b val="true"/>
      <sz val="11"/>
      <name val="Cambria"/>
      <family val="0"/>
      <charset val="1"/>
    </font>
    <font>
      <b val="true"/>
      <sz val="11"/>
      <color rgb="FFFFFFFF"/>
      <name val="Cambria"/>
      <family val="0"/>
      <charset val="1"/>
    </font>
    <font>
      <sz val="11"/>
      <name val="Calibri"/>
      <family val="0"/>
      <charset val="1"/>
    </font>
    <font>
      <sz val="11"/>
      <color rgb="FF0000FF"/>
      <name val="Cambria"/>
      <family val="0"/>
      <charset val="1"/>
    </font>
    <font>
      <b val="true"/>
      <sz val="11"/>
      <name val="Calibri"/>
      <family val="0"/>
      <charset val="1"/>
    </font>
    <font>
      <b val="true"/>
      <sz val="11"/>
      <color rgb="FF000000"/>
      <name val="Cambria"/>
      <family val="0"/>
      <charset val="1"/>
    </font>
    <font>
      <i val="true"/>
      <sz val="9"/>
      <color rgb="FF6B675C"/>
      <name val="Cambria"/>
      <family val="0"/>
      <charset val="1"/>
    </font>
    <font>
      <b val="true"/>
      <i val="true"/>
      <sz val="11"/>
      <name val="Calibri"/>
      <family val="0"/>
      <charset val="1"/>
    </font>
    <font>
      <sz val="9"/>
      <color rgb="FF444444"/>
      <name val="Cambria"/>
      <family val="0"/>
      <charset val="1"/>
    </font>
    <font>
      <sz val="11"/>
      <color rgb="FF008000"/>
      <name val="Cambria"/>
      <family val="0"/>
      <charset val="1"/>
    </font>
  </fonts>
  <fills count="6">
    <fill>
      <patternFill patternType="none"/>
    </fill>
    <fill>
      <patternFill patternType="gray125"/>
    </fill>
    <fill>
      <patternFill patternType="solid">
        <fgColor rgb="FF1F4B44"/>
        <bgColor rgb="FF444444"/>
      </patternFill>
    </fill>
    <fill>
      <patternFill patternType="solid">
        <fgColor rgb="FFD9E2E0"/>
        <bgColor rgb="FFEDEDE8"/>
      </patternFill>
    </fill>
    <fill>
      <patternFill patternType="solid">
        <fgColor rgb="FFEDEDE8"/>
        <bgColor rgb="FFD9E2E0"/>
      </patternFill>
    </fill>
    <fill>
      <patternFill patternType="solid">
        <fgColor rgb="FFFFFF00"/>
        <bgColor rgb="FFFFFF00"/>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general" vertical="bottom" textRotation="0" wrapText="false" indent="0" shrinkToFit="false"/>
      <protection locked="true" hidden="false"/>
    </xf>
    <xf numFmtId="166" fontId="14" fillId="0" borderId="1" xfId="0" applyFont="true" applyBorder="true" applyAlignment="true" applyProtection="false">
      <alignment horizontal="general" vertical="bottom" textRotation="0" wrapText="false" indent="0" shrinkToFit="false"/>
      <protection locked="true" hidden="false"/>
    </xf>
    <xf numFmtId="166" fontId="13" fillId="0" borderId="1" xfId="0" applyFont="true" applyBorder="tru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xf numFmtId="165" fontId="12" fillId="3" borderId="1" xfId="0" applyFont="true" applyBorder="true" applyAlignment="true" applyProtection="false">
      <alignment horizontal="general" vertical="bottom" textRotation="0" wrapText="false" indent="0" shrinkToFit="false"/>
      <protection locked="true" hidden="false"/>
    </xf>
    <xf numFmtId="166" fontId="12" fillId="3" borderId="1" xfId="0" applyFont="true" applyBorder="true" applyAlignment="true" applyProtection="false">
      <alignment horizontal="general" vertical="bottom" textRotation="0" wrapText="false" indent="0" shrinkToFit="false"/>
      <protection locked="true" hidden="false"/>
    </xf>
    <xf numFmtId="165" fontId="15" fillId="3" borderId="1" xfId="0" applyFont="true" applyBorder="true" applyAlignment="true" applyProtection="false">
      <alignment horizontal="general" vertical="bottom" textRotation="0" wrapText="false" indent="0" shrinkToFit="false"/>
      <protection locked="true" hidden="false"/>
    </xf>
    <xf numFmtId="166" fontId="15" fillId="3"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tru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5" fontId="17" fillId="0" borderId="1" xfId="0" applyFont="true" applyBorder="tru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general" vertical="bottom" textRotation="0" wrapText="false" indent="0" shrinkToFit="false"/>
      <protection locked="true" hidden="false"/>
    </xf>
    <xf numFmtId="165" fontId="18" fillId="3" borderId="1"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5" fontId="22" fillId="0" borderId="0" xfId="0" applyFont="true" applyBorder="false" applyAlignment="true" applyProtection="false">
      <alignment horizontal="general" vertical="bottom" textRotation="0" wrapText="false" indent="0" shrinkToFit="false"/>
      <protection locked="true" hidden="false"/>
    </xf>
    <xf numFmtId="164" fontId="23" fillId="4" borderId="0" xfId="0" applyFont="true" applyBorder="false" applyAlignment="true" applyProtection="false">
      <alignment horizontal="general" vertical="bottom" textRotation="0" wrapText="false" indent="0" shrinkToFit="false"/>
      <protection locked="true" hidden="false"/>
    </xf>
    <xf numFmtId="165" fontId="24" fillId="4"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22"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tru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6" fontId="24" fillId="0" borderId="0" xfId="0" applyFont="true" applyBorder="false" applyAlignment="true" applyProtection="false">
      <alignment horizontal="general" vertical="bottom" textRotation="0" wrapText="false" indent="0" shrinkToFit="false"/>
      <protection locked="true" hidden="false"/>
    </xf>
    <xf numFmtId="166" fontId="22" fillId="5"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8" fontId="22" fillId="5" borderId="0" xfId="0" applyFont="true" applyBorder="false" applyAlignment="true" applyProtection="false">
      <alignment horizontal="general" vertical="bottom" textRotation="0" wrapText="false" indent="0" shrinkToFit="false"/>
      <protection locked="true" hidden="false"/>
    </xf>
    <xf numFmtId="165" fontId="2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28" fillId="0" borderId="0" xfId="0" applyFont="true" applyBorder="false" applyAlignment="true" applyProtection="false">
      <alignment horizontal="general" vertical="bottom" textRotation="0" wrapText="false" indent="0" shrinkToFit="false"/>
      <protection locked="true" hidden="false"/>
    </xf>
    <xf numFmtId="167" fontId="2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6B675C"/>
      <rgbColor rgb="FF9999FF"/>
      <rgbColor rgb="FF993366"/>
      <rgbColor rgb="FFEDEDE8"/>
      <rgbColor rgb="FFCCFFFF"/>
      <rgbColor rgb="FF660066"/>
      <rgbColor rgb="FFFF8080"/>
      <rgbColor rgb="FF0066CC"/>
      <rgbColor rgb="FFD9E2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4B44"/>
      <rgbColor rgb="FF339966"/>
      <rgbColor rgb="FF003300"/>
      <rgbColor rgb="FF333300"/>
      <rgbColor rgb="FF993300"/>
      <rgbColor rgb="FF993366"/>
      <rgbColor rgb="FF333399"/>
      <rgbColor rgb="FF4444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false" showRowColHeaders="true" showZeros="true" rightToLeft="false" tabSelected="false" showOutlineSymbols="true" defaultGridColor="true" view="normal" topLeftCell="A7" colorId="64" zoomScale="100" zoomScaleNormal="100" zoomScalePageLayoutView="100" workbookViewId="0">
      <selection pane="topLeft" activeCell="A23" activeCellId="0" sqref="A23"/>
    </sheetView>
  </sheetViews>
  <sheetFormatPr defaultColWidth="8.71484375" defaultRowHeight="14.25" zeroHeight="false" outlineLevelRow="0" outlineLevelCol="0"/>
  <cols>
    <col collapsed="false" customWidth="true" hidden="false" outlineLevel="0" max="1" min="1" style="1" width="255.71"/>
    <col collapsed="false" customWidth="false" hidden="false" outlineLevel="0" max="16384" min="2" style="1" width="8.71"/>
  </cols>
  <sheetData>
    <row r="1" customFormat="false" ht="17.25" hidden="false" customHeight="true" outlineLevel="0" collapsed="false">
      <c r="A1" s="2" t="s">
        <v>0</v>
      </c>
    </row>
    <row r="3" customFormat="false" ht="15" hidden="false" customHeight="true" outlineLevel="0" collapsed="false">
      <c r="A3" s="3" t="s">
        <v>1</v>
      </c>
    </row>
    <row r="4" customFormat="false" ht="45" hidden="false" customHeight="true" outlineLevel="0" collapsed="false">
      <c r="A4" s="4" t="s">
        <v>2</v>
      </c>
    </row>
    <row r="6" customFormat="false" ht="15" hidden="false" customHeight="true" outlineLevel="0" collapsed="false">
      <c r="A6" s="3" t="s">
        <v>3</v>
      </c>
    </row>
    <row r="7" customFormat="false" ht="30" hidden="false" customHeight="true" outlineLevel="0" collapsed="false">
      <c r="A7" s="4" t="s">
        <v>4</v>
      </c>
    </row>
    <row r="8" customFormat="false" ht="30" hidden="false" customHeight="true" outlineLevel="0" collapsed="false">
      <c r="A8" s="4" t="s">
        <v>5</v>
      </c>
    </row>
    <row r="9" customFormat="false" ht="30" hidden="false" customHeight="true" outlineLevel="0" collapsed="false">
      <c r="A9" s="4" t="s">
        <v>6</v>
      </c>
    </row>
    <row r="10" customFormat="false" ht="45" hidden="false" customHeight="true" outlineLevel="0" collapsed="false">
      <c r="A10" s="5" t="s">
        <v>7</v>
      </c>
    </row>
    <row r="11" customFormat="false" ht="45" hidden="false" customHeight="true" outlineLevel="0" collapsed="false">
      <c r="A11" s="5" t="s">
        <v>8</v>
      </c>
    </row>
    <row r="12" customFormat="false" ht="45" hidden="false" customHeight="true" outlineLevel="0" collapsed="false">
      <c r="A12" s="5" t="s">
        <v>9</v>
      </c>
    </row>
    <row r="13" customFormat="false" ht="27.75" hidden="false" customHeight="true" outlineLevel="0" collapsed="false">
      <c r="A13" s="5" t="s">
        <v>10</v>
      </c>
    </row>
    <row r="14" customFormat="false" ht="27.75" hidden="false" customHeight="true" outlineLevel="0" collapsed="false"/>
    <row r="15" customFormat="false" ht="14.25" hidden="false" customHeight="true" outlineLevel="0" collapsed="false">
      <c r="A15" s="3" t="s">
        <v>11</v>
      </c>
    </row>
    <row r="16" customFormat="false" ht="15" hidden="false" customHeight="true" outlineLevel="0" collapsed="false">
      <c r="A16" s="6" t="s">
        <v>12</v>
      </c>
    </row>
    <row r="17" customFormat="false" ht="45" hidden="false" customHeight="true" outlineLevel="0" collapsed="false">
      <c r="A17" s="6" t="s">
        <v>13</v>
      </c>
    </row>
    <row r="18" customFormat="false" ht="45" hidden="false" customHeight="true" outlineLevel="0" collapsed="false">
      <c r="A18" s="6" t="s">
        <v>14</v>
      </c>
    </row>
    <row r="19" customFormat="false" ht="45" hidden="false" customHeight="true" outlineLevel="0" collapsed="false">
      <c r="A19" s="1" t="s">
        <v>15</v>
      </c>
    </row>
    <row r="20" customFormat="false" ht="45" hidden="false" customHeight="true" outlineLevel="0" collapsed="false"/>
    <row r="21" customFormat="false" ht="14.25" hidden="false" customHeight="true" outlineLevel="0" collapsed="false">
      <c r="A21" s="3" t="s">
        <v>16</v>
      </c>
    </row>
    <row r="22" customFormat="false" ht="14.25" hidden="false" customHeight="true" outlineLevel="0" collapsed="false">
      <c r="A22" s="4" t="s">
        <v>17</v>
      </c>
    </row>
    <row r="23" customFormat="false" ht="14.25" hidden="false" customHeight="true" outlineLevel="0" collapsed="false">
      <c r="A23" s="4" t="s">
        <v>18</v>
      </c>
    </row>
    <row r="24" customFormat="false" ht="14.25" hidden="false" customHeight="true" outlineLevel="0" collapsed="false">
      <c r="A24" s="4" t="s">
        <v>19</v>
      </c>
    </row>
    <row r="25" customFormat="false" ht="14.25" hidden="false" customHeight="true" outlineLevel="0" collapsed="false">
      <c r="A25" s="4" t="s">
        <v>20</v>
      </c>
    </row>
    <row r="26" customFormat="false" ht="45" hidden="false" customHeight="true" outlineLevel="0" collapsed="false">
      <c r="A26" s="7"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H4" activePane="bottomRight" state="frozen"/>
      <selection pane="topLeft" activeCell="A1" activeCellId="0" sqref="A1"/>
      <selection pane="topRight" activeCell="H1" activeCellId="0" sqref="H1"/>
      <selection pane="bottomLeft" activeCell="A4" activeCellId="0" sqref="A4"/>
      <selection pane="bottomRight" activeCell="A5" activeCellId="0" sqref="A5"/>
    </sheetView>
  </sheetViews>
  <sheetFormatPr defaultColWidth="8.71484375" defaultRowHeight="15" zeroHeight="false" outlineLevelRow="0" outlineLevelCol="0"/>
  <cols>
    <col collapsed="false" customWidth="true" hidden="false" outlineLevel="0" max="1" min="1" style="8" width="22"/>
    <col collapsed="false" customWidth="true" hidden="false" outlineLevel="0" max="26" min="2" style="8" width="13"/>
  </cols>
  <sheetData>
    <row r="1" customFormat="false" ht="17.25" hidden="false" customHeight="true" outlineLevel="0" collapsed="false">
      <c r="A1" s="9" t="s">
        <v>22</v>
      </c>
      <c r="B1" s="9"/>
      <c r="C1" s="9"/>
      <c r="D1" s="9"/>
      <c r="E1" s="9"/>
      <c r="F1" s="9"/>
      <c r="G1" s="9"/>
      <c r="H1" s="9"/>
      <c r="I1" s="9"/>
      <c r="J1" s="9"/>
      <c r="K1" s="9"/>
      <c r="L1" s="9"/>
      <c r="M1" s="9"/>
      <c r="N1" s="9"/>
      <c r="O1" s="9"/>
      <c r="P1" s="9"/>
      <c r="Q1" s="9"/>
      <c r="R1" s="9"/>
      <c r="S1" s="9"/>
      <c r="T1" s="9"/>
      <c r="U1" s="9"/>
      <c r="V1" s="9"/>
      <c r="W1" s="9"/>
      <c r="X1" s="9"/>
      <c r="Y1" s="9"/>
      <c r="Z1" s="9"/>
    </row>
    <row r="3" customFormat="false" ht="45" hidden="false" customHeight="true" outlineLevel="0" collapsed="false">
      <c r="A3" s="10" t="s">
        <v>23</v>
      </c>
      <c r="B3" s="10" t="s">
        <v>24</v>
      </c>
      <c r="C3" s="10" t="s">
        <v>25</v>
      </c>
      <c r="D3" s="10" t="s">
        <v>26</v>
      </c>
      <c r="E3" s="10" t="s">
        <v>27</v>
      </c>
      <c r="F3" s="10" t="s">
        <v>28</v>
      </c>
      <c r="G3" s="10" t="s">
        <v>29</v>
      </c>
      <c r="H3" s="10" t="s">
        <v>30</v>
      </c>
      <c r="I3" s="10" t="s">
        <v>31</v>
      </c>
      <c r="J3" s="10" t="s">
        <v>32</v>
      </c>
      <c r="K3" s="10" t="s">
        <v>33</v>
      </c>
      <c r="L3" s="10" t="s">
        <v>34</v>
      </c>
      <c r="M3" s="10" t="s">
        <v>35</v>
      </c>
      <c r="N3" s="10" t="s">
        <v>36</v>
      </c>
      <c r="O3" s="10" t="s">
        <v>37</v>
      </c>
      <c r="P3" s="10" t="s">
        <v>38</v>
      </c>
      <c r="Q3" s="10" t="s">
        <v>39</v>
      </c>
      <c r="R3" s="10" t="s">
        <v>40</v>
      </c>
      <c r="S3" s="10" t="s">
        <v>41</v>
      </c>
      <c r="T3" s="10" t="s">
        <v>42</v>
      </c>
      <c r="U3" s="10" t="s">
        <v>43</v>
      </c>
      <c r="V3" s="10" t="s">
        <v>44</v>
      </c>
      <c r="W3" s="10" t="s">
        <v>45</v>
      </c>
      <c r="X3" s="10" t="s">
        <v>46</v>
      </c>
      <c r="Y3" s="10" t="s">
        <v>47</v>
      </c>
      <c r="Z3" s="10" t="s">
        <v>48</v>
      </c>
    </row>
    <row r="4" customFormat="false" ht="15" hidden="false" customHeight="true" outlineLevel="0" collapsed="false">
      <c r="A4" s="11" t="s">
        <v>49</v>
      </c>
      <c r="B4" s="12" t="n">
        <v>23693</v>
      </c>
      <c r="C4" s="12" t="n">
        <v>26328</v>
      </c>
      <c r="D4" s="12" t="n">
        <v>25995</v>
      </c>
      <c r="E4" s="12" t="n">
        <v>25336</v>
      </c>
      <c r="F4" s="13" t="n">
        <f aca="false">IFERROR(C4/B4-1,"")</f>
        <v>0.111214282699531</v>
      </c>
      <c r="G4" s="13" t="n">
        <f aca="false">IFERROR(D4/C4-1,"")</f>
        <v>-0.0126481312670921</v>
      </c>
      <c r="H4" s="13" t="n">
        <f aca="false">IFERROR(E4/D4-1,"")</f>
        <v>-0.025351029044047</v>
      </c>
      <c r="I4" s="12" t="n">
        <v>4804</v>
      </c>
      <c r="J4" s="12" t="n">
        <v>5528</v>
      </c>
      <c r="K4" s="12" t="n">
        <v>5768</v>
      </c>
      <c r="L4" s="12" t="n">
        <v>5640</v>
      </c>
      <c r="M4" s="13" t="n">
        <f aca="false">IFERROR(I4/B4,"")</f>
        <v>0.202760308952011</v>
      </c>
      <c r="N4" s="13" t="n">
        <f aca="false">IFERROR(J4/C4,"")</f>
        <v>0.209966575508964</v>
      </c>
      <c r="O4" s="13" t="n">
        <f aca="false">IFERROR(K4/D4,"")</f>
        <v>0.221888824773995</v>
      </c>
      <c r="P4" s="13" t="n">
        <f aca="false">IFERROR(L4/E4,"")</f>
        <v>0.222608146510894</v>
      </c>
      <c r="Q4" s="14" t="n">
        <v>-0.013</v>
      </c>
      <c r="R4" s="14" t="n">
        <v>0.116</v>
      </c>
      <c r="S4" s="14" t="n">
        <v>0.103</v>
      </c>
      <c r="T4" s="14" t="n">
        <v>-0.038</v>
      </c>
      <c r="U4" s="14" t="n">
        <v>0.047</v>
      </c>
      <c r="V4" s="14" t="n">
        <v>-0.008</v>
      </c>
      <c r="W4" s="14" t="n">
        <v>0.004</v>
      </c>
      <c r="X4" s="14" t="n">
        <v>-0.005</v>
      </c>
      <c r="Y4" s="14" t="n">
        <v>-0.001</v>
      </c>
      <c r="Z4" s="14" t="n">
        <v>-0.02</v>
      </c>
    </row>
    <row r="5" customFormat="false" ht="15" hidden="false" customHeight="true" outlineLevel="0" collapsed="false">
      <c r="A5" s="11" t="s">
        <v>50</v>
      </c>
      <c r="B5" s="12" t="n">
        <v>18794</v>
      </c>
      <c r="C5" s="12" t="n">
        <v>19128</v>
      </c>
      <c r="D5" s="12" t="n">
        <v>19098</v>
      </c>
      <c r="E5" s="12" t="n">
        <v>18910</v>
      </c>
      <c r="F5" s="13" t="n">
        <f aca="false">IFERROR(C5/B5-1,"")</f>
        <v>0.0177716292433756</v>
      </c>
      <c r="G5" s="13" t="n">
        <f aca="false">IFERROR(D5/C5-1,"")</f>
        <v>-0.00156838143036386</v>
      </c>
      <c r="H5" s="13" t="n">
        <f aca="false">IFERROR(E5/D5-1,"")</f>
        <v>-0.00984396271860932</v>
      </c>
      <c r="I5" s="12" t="n">
        <v>3439</v>
      </c>
      <c r="J5" s="12" t="n">
        <v>3138</v>
      </c>
      <c r="K5" s="12" t="n">
        <v>3127</v>
      </c>
      <c r="L5" s="12" t="n">
        <v>3192</v>
      </c>
      <c r="M5" s="13" t="n">
        <f aca="false">IFERROR(I5/B5,"")</f>
        <v>0.182983931041822</v>
      </c>
      <c r="N5" s="13" t="n">
        <f aca="false">IFERROR(J5/C5,"")</f>
        <v>0.16405269761606</v>
      </c>
      <c r="O5" s="13" t="n">
        <f aca="false">IFERROR(K5/D5,"")</f>
        <v>0.163734422452613</v>
      </c>
      <c r="P5" s="13" t="n">
        <f aca="false">IFERROR(L5/E5,"")</f>
        <v>0.168799576943416</v>
      </c>
      <c r="Q5" s="14" t="n">
        <v>0.009</v>
      </c>
      <c r="R5" s="14" t="n">
        <v>0.064</v>
      </c>
      <c r="S5" s="14" t="n">
        <v>0.072</v>
      </c>
      <c r="T5" s="14" t="n">
        <v>0.021</v>
      </c>
      <c r="U5" s="14" t="n">
        <v>-0.076</v>
      </c>
      <c r="V5" s="14" t="n">
        <v>0.008</v>
      </c>
      <c r="W5" s="14" t="n">
        <v>0.025</v>
      </c>
      <c r="X5" s="14" t="n">
        <v>0.033</v>
      </c>
      <c r="Y5" s="14" t="n">
        <v>-0.019</v>
      </c>
      <c r="Z5" s="14" t="n">
        <v>-0.025</v>
      </c>
    </row>
    <row r="6" customFormat="false" ht="15" hidden="false" customHeight="true" outlineLevel="0" collapsed="false">
      <c r="A6" s="11" t="s">
        <v>51</v>
      </c>
      <c r="B6" s="12" t="n">
        <v>17894</v>
      </c>
      <c r="C6" s="12" t="n">
        <v>18484</v>
      </c>
      <c r="D6" s="12" t="n">
        <v>17519</v>
      </c>
      <c r="E6" s="12" t="n">
        <v>16793</v>
      </c>
      <c r="F6" s="13" t="n">
        <f aca="false">IFERROR(C6/B6-1,"")</f>
        <v>0.0329719459036548</v>
      </c>
      <c r="G6" s="13" t="n">
        <f aca="false">IFERROR(D6/C6-1,"")</f>
        <v>-0.0522073144341052</v>
      </c>
      <c r="H6" s="13" t="n">
        <f aca="false">IFERROR(E6/D6-1,"")</f>
        <v>-0.0414407215023689</v>
      </c>
      <c r="I6" s="12" t="n">
        <v>4288</v>
      </c>
      <c r="J6" s="12" t="n">
        <v>4237</v>
      </c>
      <c r="K6" s="12" t="n">
        <v>4109</v>
      </c>
      <c r="L6" s="12" t="n">
        <v>3916</v>
      </c>
      <c r="M6" s="13" t="n">
        <f aca="false">IFERROR(I6/B6,"")</f>
        <v>0.239633396669275</v>
      </c>
      <c r="N6" s="13" t="n">
        <f aca="false">IFERROR(J6/C6,"")</f>
        <v>0.229225275914304</v>
      </c>
      <c r="O6" s="13" t="n">
        <f aca="false">IFERROR(K6/D6,"")</f>
        <v>0.23454535076203</v>
      </c>
      <c r="P6" s="13" t="n">
        <f aca="false">IFERROR(L6/E6,"")</f>
        <v>0.233192401595903</v>
      </c>
      <c r="Q6" s="14" t="n">
        <v>0.001</v>
      </c>
      <c r="R6" s="14" t="n">
        <v>0.081</v>
      </c>
      <c r="S6" s="14" t="n">
        <v>0.082</v>
      </c>
      <c r="T6" s="14" t="n">
        <v>-0.001</v>
      </c>
      <c r="U6" s="14" t="n">
        <v>-0.049</v>
      </c>
      <c r="V6" s="14" t="n">
        <v>0.006</v>
      </c>
      <c r="W6" s="14" t="n">
        <v>0.028</v>
      </c>
      <c r="X6" s="14" t="n">
        <v>0.034</v>
      </c>
      <c r="Y6" s="14" t="n">
        <v>0</v>
      </c>
      <c r="Z6" s="14" t="n">
        <v>-0.075</v>
      </c>
    </row>
    <row r="7" customFormat="false" ht="15" hidden="false" customHeight="true" outlineLevel="0" collapsed="false">
      <c r="A7" s="11" t="s">
        <v>52</v>
      </c>
      <c r="B7" s="12" t="n">
        <v>10086</v>
      </c>
      <c r="C7" s="12" t="n">
        <v>11819</v>
      </c>
      <c r="D7" s="12" t="n">
        <v>12196</v>
      </c>
      <c r="E7" s="12" t="n">
        <v>11933</v>
      </c>
      <c r="F7" s="13" t="n">
        <f aca="false">IFERROR(C7/B7-1,"")</f>
        <v>0.171822327979377</v>
      </c>
      <c r="G7" s="13" t="n">
        <f aca="false">IFERROR(D7/C7-1,"")</f>
        <v>0.0318977916913445</v>
      </c>
      <c r="H7" s="13" t="n">
        <f aca="false">IFERROR(E7/D7-1,"")</f>
        <v>-0.0215644473597901</v>
      </c>
      <c r="I7" s="12" t="n">
        <v>2208</v>
      </c>
      <c r="J7" s="12" t="n">
        <v>2501</v>
      </c>
      <c r="K7" s="12" t="n">
        <v>2520</v>
      </c>
      <c r="L7" s="12" t="n">
        <v>2429</v>
      </c>
      <c r="M7" s="13" t="n">
        <f aca="false">IFERROR(I7/B7,"")</f>
        <v>0.218917311124331</v>
      </c>
      <c r="N7" s="13" t="n">
        <f aca="false">IFERROR(J7/C7,"")</f>
        <v>0.211608427108892</v>
      </c>
      <c r="O7" s="13" t="n">
        <f aca="false">IFERROR(K7/D7,"")</f>
        <v>0.206625122991145</v>
      </c>
      <c r="P7" s="13" t="n">
        <f aca="false">IFERROR(L7/E7,"")</f>
        <v>0.203553171876309</v>
      </c>
      <c r="Q7" s="14" t="n">
        <v>0.015</v>
      </c>
      <c r="R7" s="14" t="n">
        <v>0.116</v>
      </c>
      <c r="S7" s="14" t="n">
        <v>0.131</v>
      </c>
      <c r="T7" s="14" t="n">
        <v>0.001</v>
      </c>
      <c r="U7" s="14" t="n">
        <v>0.04</v>
      </c>
      <c r="V7" s="14" t="n">
        <v>-0.003</v>
      </c>
      <c r="W7" s="14" t="n">
        <v>0.027</v>
      </c>
      <c r="X7" s="14" t="n">
        <v>0.025</v>
      </c>
      <c r="Y7" s="14" t="n">
        <v>0.004</v>
      </c>
      <c r="Z7" s="14" t="n">
        <v>-0.049</v>
      </c>
    </row>
    <row r="8" customFormat="false" ht="15" hidden="false" customHeight="true" outlineLevel="0" collapsed="false">
      <c r="A8" s="11" t="s">
        <v>53</v>
      </c>
      <c r="B8" s="12" t="n">
        <v>5175</v>
      </c>
      <c r="C8" s="12" t="n">
        <v>5351</v>
      </c>
      <c r="D8" s="12" t="n">
        <v>5037</v>
      </c>
      <c r="E8" s="12" t="n">
        <v>4973</v>
      </c>
      <c r="F8" s="13" t="n">
        <f aca="false">IFERROR(C8/B8-1,"")</f>
        <v>0.0340096618357488</v>
      </c>
      <c r="G8" s="13" t="n">
        <f aca="false">IFERROR(D8/C8-1,"")</f>
        <v>-0.0586806204447767</v>
      </c>
      <c r="H8" s="13" t="n">
        <f aca="false">IFERROR(E8/D8-1,"")</f>
        <v>-0.0127059757792337</v>
      </c>
      <c r="I8" s="12" t="n">
        <v>700</v>
      </c>
      <c r="J8" s="12" t="n">
        <v>862</v>
      </c>
      <c r="K8" s="12" t="n">
        <v>832</v>
      </c>
      <c r="L8" s="12" t="n">
        <v>803</v>
      </c>
      <c r="M8" s="13" t="n">
        <f aca="false">IFERROR(I8/B8,"")</f>
        <v>0.135265700483092</v>
      </c>
      <c r="N8" s="13" t="n">
        <f aca="false">IFERROR(J8/C8,"")</f>
        <v>0.16109138478789</v>
      </c>
      <c r="O8" s="13" t="n">
        <f aca="false">IFERROR(K8/D8,"")</f>
        <v>0.165177685130038</v>
      </c>
      <c r="P8" s="13" t="n">
        <f aca="false">IFERROR(L8/E8,"")</f>
        <v>0.161471948522019</v>
      </c>
      <c r="Q8" s="14" t="n">
        <v>0.01</v>
      </c>
      <c r="R8" s="14" t="n">
        <v>0.025</v>
      </c>
      <c r="S8" s="14" t="n">
        <v>0.035</v>
      </c>
      <c r="T8" s="14" t="n">
        <v>0</v>
      </c>
      <c r="U8" s="14" t="n">
        <v>-0.001</v>
      </c>
      <c r="V8" s="14" t="n">
        <v>0.043</v>
      </c>
      <c r="W8" s="14" t="n">
        <v>-0.021</v>
      </c>
      <c r="X8" s="14" t="n">
        <v>0.021</v>
      </c>
      <c r="Y8" s="14" t="n">
        <v>0.001</v>
      </c>
      <c r="Z8" s="14" t="n">
        <v>-0.035</v>
      </c>
    </row>
    <row r="9" customFormat="false" ht="15" hidden="false" customHeight="true" outlineLevel="0" collapsed="false">
      <c r="A9" s="11" t="s">
        <v>54</v>
      </c>
      <c r="B9" s="12" t="n">
        <v>4822</v>
      </c>
      <c r="C9" s="12" t="n">
        <v>6602</v>
      </c>
      <c r="D9" s="12" t="n">
        <v>6498</v>
      </c>
      <c r="E9" s="12" t="n">
        <v>6739</v>
      </c>
      <c r="F9" s="13" t="n">
        <f aca="false">IFERROR(C9/B9-1,"")</f>
        <v>0.369141435089175</v>
      </c>
      <c r="G9" s="13" t="n">
        <f aca="false">IFERROR(D9/C9-1,"")</f>
        <v>-0.0157528021811573</v>
      </c>
      <c r="H9" s="13" t="n">
        <f aca="false">IFERROR(E9/D9-1,"")</f>
        <v>0.0370883348722684</v>
      </c>
      <c r="I9" s="12" t="n">
        <v>654</v>
      </c>
      <c r="J9" s="12" t="n">
        <v>899</v>
      </c>
      <c r="K9" s="12" t="n">
        <v>777</v>
      </c>
      <c r="L9" s="12" t="n">
        <v>943</v>
      </c>
      <c r="M9" s="13" t="n">
        <f aca="false">IFERROR(I9/B9,"")</f>
        <v>0.135628369970966</v>
      </c>
      <c r="N9" s="13" t="n">
        <f aca="false">IFERROR(J9/C9,"")</f>
        <v>0.136170857315965</v>
      </c>
      <c r="O9" s="13" t="n">
        <f aca="false">IFERROR(K9/D9,"")</f>
        <v>0.119575253924284</v>
      </c>
      <c r="P9" s="13" t="n">
        <f aca="false">IFERROR(L9/E9,"")</f>
        <v>0.139931740614334</v>
      </c>
      <c r="Q9" s="14" t="n">
        <v>0.006</v>
      </c>
      <c r="R9" s="14" t="n">
        <v>0.034</v>
      </c>
      <c r="S9" s="14" t="n">
        <v>0.04</v>
      </c>
      <c r="T9" s="14" t="n">
        <v>0.315</v>
      </c>
      <c r="U9" s="14" t="n">
        <v>0.015</v>
      </c>
      <c r="V9" s="14" t="n">
        <v>0.055</v>
      </c>
      <c r="W9" s="14" t="n">
        <v>0.007</v>
      </c>
      <c r="X9" s="14" t="n">
        <v>0.062</v>
      </c>
      <c r="Y9" s="14" t="n">
        <v>0.002</v>
      </c>
      <c r="Z9" s="14" t="n">
        <v>-0.028</v>
      </c>
    </row>
    <row r="10" customFormat="false" ht="15" hidden="false" customHeight="true" outlineLevel="0" collapsed="false">
      <c r="A10" s="11" t="s">
        <v>55</v>
      </c>
      <c r="B10" s="12" t="n">
        <v>6418</v>
      </c>
      <c r="C10" s="12" t="n">
        <v>6448</v>
      </c>
      <c r="D10" s="12" t="n">
        <v>6372</v>
      </c>
      <c r="E10" s="12" t="n">
        <v>6378</v>
      </c>
      <c r="F10" s="13" t="n">
        <f aca="false">IFERROR(C10/B10-1,"")</f>
        <v>0.00467435338111555</v>
      </c>
      <c r="G10" s="13" t="n">
        <f aca="false">IFERROR(D10/C10-1,"")</f>
        <v>-0.0117866004962779</v>
      </c>
      <c r="H10" s="13" t="n">
        <f aca="false">IFERROR(E10/D10-1,"")</f>
        <v>0.000941619585687281</v>
      </c>
      <c r="I10" s="12" t="n">
        <v>1475</v>
      </c>
      <c r="J10" s="12" t="n">
        <v>1388</v>
      </c>
      <c r="K10" s="12" t="n">
        <v>1291</v>
      </c>
      <c r="L10" s="12" t="n">
        <v>1278</v>
      </c>
      <c r="M10" s="13" t="n">
        <f aca="false">IFERROR(I10/B10,"")</f>
        <v>0.229822374571518</v>
      </c>
      <c r="N10" s="13" t="n">
        <f aca="false">IFERROR(J10/C10,"")</f>
        <v>0.215260545905707</v>
      </c>
      <c r="O10" s="13" t="n">
        <f aca="false">IFERROR(K10/D10,"")</f>
        <v>0.202605147520402</v>
      </c>
      <c r="P10" s="13" t="n">
        <f aca="false">IFERROR(L10/E10,"")</f>
        <v>0.200376293508937</v>
      </c>
      <c r="Q10" s="14" t="n">
        <v>-0.017</v>
      </c>
      <c r="R10" s="14" t="n">
        <v>0.052</v>
      </c>
      <c r="S10" s="14" t="n">
        <v>0.035</v>
      </c>
      <c r="T10" s="14" t="n">
        <v>-0.003</v>
      </c>
      <c r="U10" s="14" t="n">
        <v>-0.027</v>
      </c>
      <c r="V10" s="14" t="n">
        <v>0.016</v>
      </c>
      <c r="W10" s="14" t="n">
        <v>0.006</v>
      </c>
      <c r="X10" s="14" t="n">
        <v>0.022</v>
      </c>
      <c r="Y10" s="14" t="n">
        <v>0.002</v>
      </c>
      <c r="Z10" s="14" t="n">
        <v>-0.024</v>
      </c>
    </row>
    <row r="11" customFormat="false" ht="15" hidden="false" customHeight="true" outlineLevel="0" collapsed="false">
      <c r="A11" s="11" t="s">
        <v>56</v>
      </c>
      <c r="B11" s="12" t="n">
        <v>206</v>
      </c>
      <c r="C11" s="12" t="n">
        <v>264</v>
      </c>
      <c r="D11" s="12" t="n">
        <v>283</v>
      </c>
      <c r="E11" s="12" t="n">
        <v>292</v>
      </c>
      <c r="F11" s="13" t="n">
        <f aca="false">IFERROR(C11/B11-1,"")</f>
        <v>0.281553398058253</v>
      </c>
      <c r="G11" s="13" t="n">
        <f aca="false">IFERROR(D11/C11-1,"")</f>
        <v>0.071969696969697</v>
      </c>
      <c r="H11" s="13" t="n">
        <f aca="false">IFERROR(E11/D11-1,"")</f>
        <v>0.0318021201413428</v>
      </c>
      <c r="I11" s="12" t="n">
        <v>-32</v>
      </c>
      <c r="J11" s="12" t="n">
        <v>-17</v>
      </c>
      <c r="K11" s="12" t="n">
        <v>-12</v>
      </c>
      <c r="L11" s="12" t="n">
        <v>-13</v>
      </c>
      <c r="M11" s="13" t="n">
        <f aca="false">IFERROR(I11/B11,"")</f>
        <v>-0.155339805825243</v>
      </c>
      <c r="N11" s="13" t="n">
        <f aca="false">IFERROR(J11/C11,"")</f>
        <v>-0.0643939393939394</v>
      </c>
      <c r="O11" s="13" t="n">
        <f aca="false">IFERROR(K11/D11,"")</f>
        <v>-0.0424028268551237</v>
      </c>
      <c r="P11" s="13" t="n">
        <f aca="false">IFERROR(L11/E11,"")</f>
        <v>-0.0445205479452055</v>
      </c>
      <c r="Q11" s="14" t="n">
        <v>0.252</v>
      </c>
      <c r="R11" s="14" t="n">
        <v>0.032</v>
      </c>
      <c r="S11" s="14" t="n">
        <v>0.284</v>
      </c>
      <c r="T11" s="14" t="n">
        <v>0</v>
      </c>
      <c r="U11" s="14" t="n">
        <v>-0.001</v>
      </c>
      <c r="V11" s="14" t="n">
        <v>0.053</v>
      </c>
      <c r="W11" s="14" t="n">
        <v>0.013</v>
      </c>
      <c r="X11" s="14" t="n">
        <v>0.066</v>
      </c>
      <c r="Y11" s="14" t="n">
        <v>0</v>
      </c>
      <c r="Z11" s="14" t="n">
        <v>-0.027</v>
      </c>
    </row>
    <row r="12" customFormat="false" ht="15" hidden="false" customHeight="true" outlineLevel="0" collapsed="false">
      <c r="A12" s="15" t="s">
        <v>57</v>
      </c>
      <c r="B12" s="16" t="n">
        <f aca="false">SUM(B4:B11)</f>
        <v>87088</v>
      </c>
      <c r="C12" s="16" t="n">
        <f aca="false">SUM(C4:C11)</f>
        <v>94424</v>
      </c>
      <c r="D12" s="16" t="n">
        <f aca="false">SUM(D4:D11)</f>
        <v>92998</v>
      </c>
      <c r="E12" s="16" t="n">
        <f aca="false">SUM(E4:E11)</f>
        <v>91354</v>
      </c>
      <c r="F12" s="17" t="n">
        <f aca="false">IFERROR(C12/B12-1,"")</f>
        <v>0.0842366342090759</v>
      </c>
      <c r="G12" s="17" t="n">
        <f aca="false">IFERROR(D12/C12-1,"")</f>
        <v>-0.0151020926882995</v>
      </c>
      <c r="H12" s="17" t="n">
        <f aca="false">IFERROR(E12/D12-1,"")</f>
        <v>-0.0176777995225704</v>
      </c>
      <c r="I12" s="18" t="n">
        <v>15119</v>
      </c>
      <c r="J12" s="18" t="n">
        <v>16103</v>
      </c>
      <c r="K12" s="18" t="n">
        <v>16053</v>
      </c>
      <c r="L12" s="18" t="n">
        <v>15704</v>
      </c>
      <c r="M12" s="17" t="n">
        <f aca="false">IFERROR(I12/B12,"")</f>
        <v>0.173606007716333</v>
      </c>
      <c r="N12" s="17" t="n">
        <f aca="false">IFERROR(J12/C12,"")</f>
        <v>0.170539269677201</v>
      </c>
      <c r="O12" s="17" t="n">
        <f aca="false">IFERROR(K12/D12,"")</f>
        <v>0.172616615411084</v>
      </c>
      <c r="P12" s="17" t="n">
        <f aca="false">IFERROR(L12/E12,"")</f>
        <v>0.171902708146332</v>
      </c>
      <c r="Q12" s="19" t="n">
        <v>0.001</v>
      </c>
      <c r="R12" s="19" t="n">
        <v>0.082</v>
      </c>
      <c r="S12" s="19" t="n">
        <v>0.083</v>
      </c>
      <c r="T12" s="19" t="n">
        <v>0.011</v>
      </c>
      <c r="U12" s="19" t="n">
        <v>-0.009</v>
      </c>
      <c r="V12" s="19" t="n">
        <v>0.008</v>
      </c>
      <c r="W12" s="19" t="n">
        <v>0.015</v>
      </c>
      <c r="X12" s="19" t="n">
        <v>0.022</v>
      </c>
      <c r="Y12" s="19" t="n">
        <v>-0.003</v>
      </c>
      <c r="Z12" s="19" t="n">
        <v>-0.037</v>
      </c>
    </row>
    <row r="14" customFormat="false" ht="15" hidden="false" customHeight="true" outlineLevel="0" collapsed="false">
      <c r="A14" s="20" t="s">
        <v>58</v>
      </c>
      <c r="B14" s="20"/>
      <c r="C14" s="20"/>
      <c r="D14" s="20"/>
      <c r="E14" s="20"/>
      <c r="F14" s="20"/>
      <c r="G14" s="20"/>
      <c r="H14" s="20"/>
      <c r="I14" s="20"/>
      <c r="J14" s="20"/>
    </row>
    <row r="15" customFormat="false" ht="30" hidden="false" customHeight="true" outlineLevel="0" collapsed="false">
      <c r="A15" s="21" t="s">
        <v>59</v>
      </c>
      <c r="B15" s="21"/>
      <c r="C15" s="21"/>
      <c r="D15" s="21"/>
      <c r="E15" s="21"/>
      <c r="F15" s="21"/>
      <c r="G15" s="21"/>
      <c r="H15" s="21"/>
      <c r="I15" s="21"/>
      <c r="J15" s="21"/>
      <c r="K15" s="21"/>
      <c r="L15" s="21"/>
      <c r="M15" s="21"/>
      <c r="N15" s="21"/>
    </row>
  </sheetData>
  <mergeCells count="3">
    <mergeCell ref="A1:Z1"/>
    <mergeCell ref="A14:J14"/>
    <mergeCell ref="A15:N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D5" activeCellId="0" sqref="D5"/>
    </sheetView>
  </sheetViews>
  <sheetFormatPr defaultColWidth="8.71484375" defaultRowHeight="15" zeroHeight="false" outlineLevelRow="0" outlineLevelCol="0"/>
  <cols>
    <col collapsed="false" customWidth="true" hidden="false" outlineLevel="0" max="1" min="1" style="8" width="26"/>
    <col collapsed="false" customWidth="true" hidden="false" outlineLevel="0" max="22" min="2" style="8" width="13"/>
  </cols>
  <sheetData>
    <row r="1" customFormat="false" ht="17.25" hidden="false" customHeight="true" outlineLevel="0" collapsed="false">
      <c r="A1" s="9" t="s">
        <v>60</v>
      </c>
      <c r="B1" s="9"/>
      <c r="C1" s="9"/>
      <c r="D1" s="9"/>
      <c r="E1" s="9"/>
      <c r="F1" s="9"/>
      <c r="G1" s="9"/>
      <c r="H1" s="9"/>
      <c r="I1" s="9"/>
      <c r="J1" s="9"/>
      <c r="K1" s="9"/>
      <c r="L1" s="9"/>
      <c r="M1" s="9"/>
      <c r="N1" s="9"/>
      <c r="O1" s="9"/>
      <c r="P1" s="9"/>
      <c r="Q1" s="9"/>
      <c r="R1" s="9"/>
      <c r="S1" s="9"/>
      <c r="T1" s="9"/>
      <c r="U1" s="9"/>
      <c r="V1" s="9"/>
    </row>
    <row r="3" customFormat="false" ht="45" hidden="false" customHeight="true" outlineLevel="0" collapsed="false">
      <c r="A3" s="10" t="s">
        <v>61</v>
      </c>
      <c r="B3" s="10" t="s">
        <v>24</v>
      </c>
      <c r="C3" s="10" t="s">
        <v>25</v>
      </c>
      <c r="D3" s="10" t="s">
        <v>26</v>
      </c>
      <c r="E3" s="10" t="s">
        <v>27</v>
      </c>
      <c r="F3" s="10" t="s">
        <v>28</v>
      </c>
      <c r="G3" s="10" t="s">
        <v>29</v>
      </c>
      <c r="H3" s="10" t="s">
        <v>30</v>
      </c>
      <c r="I3" s="10" t="s">
        <v>31</v>
      </c>
      <c r="J3" s="10" t="s">
        <v>32</v>
      </c>
      <c r="K3" s="10" t="s">
        <v>33</v>
      </c>
      <c r="L3" s="10" t="s">
        <v>34</v>
      </c>
      <c r="M3" s="10" t="s">
        <v>35</v>
      </c>
      <c r="N3" s="10" t="s">
        <v>36</v>
      </c>
      <c r="O3" s="10" t="s">
        <v>37</v>
      </c>
      <c r="P3" s="10" t="s">
        <v>38</v>
      </c>
      <c r="Q3" s="10" t="s">
        <v>39</v>
      </c>
      <c r="R3" s="10" t="s">
        <v>40</v>
      </c>
      <c r="S3" s="10" t="s">
        <v>41</v>
      </c>
      <c r="T3" s="10" t="s">
        <v>44</v>
      </c>
      <c r="U3" s="10" t="s">
        <v>45</v>
      </c>
      <c r="V3" s="10" t="s">
        <v>46</v>
      </c>
    </row>
    <row r="4" customFormat="false" ht="15" hidden="false" customHeight="true" outlineLevel="0" collapsed="false">
      <c r="A4" s="11" t="s">
        <v>62</v>
      </c>
      <c r="B4" s="12" t="n">
        <v>23975</v>
      </c>
      <c r="C4" s="12" t="n">
        <v>25218</v>
      </c>
      <c r="D4" s="12" t="n">
        <v>24786</v>
      </c>
      <c r="E4" s="12" t="n">
        <v>24598</v>
      </c>
      <c r="F4" s="13" t="n">
        <f aca="false">IFERROR(C4/B4-1,"")</f>
        <v>0.0518456725755996</v>
      </c>
      <c r="G4" s="13" t="n">
        <f aca="false">IFERROR(D4/C4-1,"")</f>
        <v>-0.0171306209850107</v>
      </c>
      <c r="H4" s="13" t="n">
        <f aca="false">IFERROR(E4/D4-1,"")</f>
        <v>-0.0075849269749052</v>
      </c>
      <c r="I4" s="12" t="n">
        <v>5631</v>
      </c>
      <c r="J4" s="12" t="n">
        <v>5593</v>
      </c>
      <c r="K4" s="12" t="n">
        <v>5130</v>
      </c>
      <c r="L4" s="12" t="n">
        <v>4920</v>
      </c>
      <c r="M4" s="13" t="n">
        <f aca="false">IFERROR(I4/B4,"")</f>
        <v>0.234869655891554</v>
      </c>
      <c r="N4" s="13" t="n">
        <f aca="false">IFERROR(J4/C4,"")</f>
        <v>0.221786025854548</v>
      </c>
      <c r="O4" s="13" t="n">
        <f aca="false">IFERROR(K4/D4,"")</f>
        <v>0.206971677559913</v>
      </c>
      <c r="P4" s="13" t="n">
        <f aca="false">IFERROR(L4/E4,"")</f>
        <v>0.200016261484674</v>
      </c>
      <c r="Q4" s="14" t="n">
        <v>0.002</v>
      </c>
      <c r="R4" s="14" t="n">
        <v>0.078</v>
      </c>
      <c r="S4" s="14" t="n">
        <v>0.08</v>
      </c>
      <c r="T4" s="14" t="n">
        <v>0.016</v>
      </c>
      <c r="U4" s="14" t="n">
        <v>0.017</v>
      </c>
      <c r="V4" s="14" t="n">
        <v>0.033</v>
      </c>
    </row>
    <row r="5" customFormat="false" ht="15" hidden="false" customHeight="true" outlineLevel="0" collapsed="false">
      <c r="A5" s="11" t="s">
        <v>63</v>
      </c>
      <c r="B5" s="12" t="n">
        <v>4040</v>
      </c>
      <c r="C5" s="12" t="n">
        <v>3536</v>
      </c>
      <c r="D5" s="12" t="n">
        <v>3320</v>
      </c>
      <c r="E5" s="12" t="n">
        <v>3180</v>
      </c>
      <c r="F5" s="13" t="n">
        <f aca="false">IFERROR(C5/B5-1,"")</f>
        <v>-0.124752475247525</v>
      </c>
      <c r="G5" s="13" t="n">
        <f aca="false">IFERROR(D5/C5-1,"")</f>
        <v>-0.0610859728506787</v>
      </c>
      <c r="H5" s="13" t="n">
        <f aca="false">IFERROR(E5/D5-1,"")</f>
        <v>-0.0421686746987952</v>
      </c>
      <c r="I5" s="12" t="n">
        <v>364</v>
      </c>
      <c r="J5" s="12" t="n">
        <v>277</v>
      </c>
      <c r="K5" s="12" t="n">
        <v>351</v>
      </c>
      <c r="L5" s="12" t="n">
        <v>297</v>
      </c>
      <c r="M5" s="13" t="n">
        <f aca="false">IFERROR(I5/B5,"")</f>
        <v>0.0900990099009901</v>
      </c>
      <c r="N5" s="13" t="n">
        <f aca="false">IFERROR(J5/C5,"")</f>
        <v>0.0783371040723982</v>
      </c>
      <c r="O5" s="13" t="n">
        <f aca="false">IFERROR(K5/D5,"")</f>
        <v>0.105722891566265</v>
      </c>
      <c r="P5" s="13" t="n">
        <f aca="false">IFERROR(L5/E5,"")</f>
        <v>0.0933962264150943</v>
      </c>
      <c r="Q5" s="14" t="n">
        <v>0.022</v>
      </c>
      <c r="R5" s="14" t="n">
        <v>0.089</v>
      </c>
      <c r="S5" s="14" t="n">
        <v>0.11</v>
      </c>
      <c r="T5" s="14" t="n">
        <v>-0.01</v>
      </c>
      <c r="U5" s="14" t="n">
        <v>0.032</v>
      </c>
      <c r="V5" s="14" t="n">
        <v>0.023</v>
      </c>
    </row>
    <row r="6" customFormat="false" ht="15" hidden="false" customHeight="true" outlineLevel="0" collapsed="false">
      <c r="A6" s="11" t="s">
        <v>64</v>
      </c>
      <c r="B6" s="12" t="n">
        <v>10700</v>
      </c>
      <c r="C6" s="12" t="n">
        <v>11289</v>
      </c>
      <c r="D6" s="12" t="n">
        <v>10981</v>
      </c>
      <c r="E6" s="12" t="n">
        <v>10397</v>
      </c>
      <c r="F6" s="13" t="n">
        <f aca="false">IFERROR(C6/B6-1,"")</f>
        <v>0.0550467289719627</v>
      </c>
      <c r="G6" s="13" t="n">
        <f aca="false">IFERROR(D6/C6-1,"")</f>
        <v>-0.0272831960315352</v>
      </c>
      <c r="H6" s="13" t="n">
        <f aca="false">IFERROR(E6/D6-1,"")</f>
        <v>-0.0531827702395046</v>
      </c>
      <c r="I6" s="12" t="n">
        <v>2707</v>
      </c>
      <c r="J6" s="12" t="n">
        <v>2568</v>
      </c>
      <c r="K6" s="12" t="n">
        <v>2688</v>
      </c>
      <c r="L6" s="12" t="n">
        <v>2442</v>
      </c>
      <c r="M6" s="13" t="n">
        <f aca="false">IFERROR(I6/B6,"")</f>
        <v>0.252990654205607</v>
      </c>
      <c r="N6" s="13" t="n">
        <f aca="false">IFERROR(J6/C6,"")</f>
        <v>0.227478076003189</v>
      </c>
      <c r="O6" s="13" t="n">
        <f aca="false">IFERROR(K6/D6,"")</f>
        <v>0.244786449321555</v>
      </c>
      <c r="P6" s="13" t="n">
        <f aca="false">IFERROR(L6/E6,"")</f>
        <v>0.234875444839858</v>
      </c>
      <c r="Q6" s="14" t="n">
        <v>-0.043</v>
      </c>
      <c r="R6" s="14" t="n">
        <v>0.096</v>
      </c>
      <c r="S6" s="14" t="n">
        <v>0.054</v>
      </c>
      <c r="T6" s="14" t="n">
        <v>-0.007</v>
      </c>
      <c r="U6" s="14" t="n">
        <v>0.001</v>
      </c>
      <c r="V6" s="14" t="n">
        <v>-0.006</v>
      </c>
    </row>
    <row r="7" customFormat="false" ht="15" hidden="false" customHeight="true" outlineLevel="0" collapsed="false">
      <c r="A7" s="11" t="s">
        <v>65</v>
      </c>
      <c r="B7" s="12" t="n">
        <v>13157</v>
      </c>
      <c r="C7" s="12" t="n">
        <v>15678</v>
      </c>
      <c r="D7" s="12" t="n">
        <v>15278</v>
      </c>
      <c r="E7" s="12" t="n">
        <v>15137</v>
      </c>
      <c r="F7" s="13" t="n">
        <f aca="false">IFERROR(C7/B7-1,"")</f>
        <v>0.191609029414</v>
      </c>
      <c r="G7" s="13" t="n">
        <f aca="false">IFERROR(D7/C7-1,"")</f>
        <v>-0.0255134583492792</v>
      </c>
      <c r="H7" s="13" t="n">
        <f aca="false">IFERROR(E7/D7-1,"")</f>
        <v>-0.00922895666972112</v>
      </c>
      <c r="I7" s="12" t="n">
        <v>2307</v>
      </c>
      <c r="J7" s="12" t="n">
        <v>2990</v>
      </c>
      <c r="K7" s="12" t="n">
        <v>2831</v>
      </c>
      <c r="L7" s="12" t="n">
        <v>3006</v>
      </c>
      <c r="M7" s="13" t="n">
        <f aca="false">IFERROR(I7/B7,"")</f>
        <v>0.17534392338679</v>
      </c>
      <c r="N7" s="13" t="n">
        <f aca="false">IFERROR(J7/C7,"")</f>
        <v>0.190713101160862</v>
      </c>
      <c r="O7" s="13" t="n">
        <f aca="false">IFERROR(K7/D7,"")</f>
        <v>0.185299122921848</v>
      </c>
      <c r="P7" s="13" t="n">
        <f aca="false">IFERROR(L7/E7,"")</f>
        <v>0.198586245623307</v>
      </c>
      <c r="Q7" s="14" t="n">
        <v>0.017</v>
      </c>
      <c r="R7" s="14" t="n">
        <v>0.057</v>
      </c>
      <c r="S7" s="14" t="n">
        <v>0.074</v>
      </c>
      <c r="T7" s="14" t="n">
        <v>0.019</v>
      </c>
      <c r="U7" s="14" t="n">
        <v>0.009</v>
      </c>
      <c r="V7" s="14" t="n">
        <v>0.028</v>
      </c>
    </row>
    <row r="8" customFormat="false" ht="15" hidden="false" customHeight="true" outlineLevel="0" collapsed="false">
      <c r="A8" s="11" t="s">
        <v>66</v>
      </c>
      <c r="B8" s="12" t="n">
        <v>12146</v>
      </c>
      <c r="C8" s="12" t="n">
        <v>12484</v>
      </c>
      <c r="D8" s="12" t="n">
        <v>11666</v>
      </c>
      <c r="E8" s="12" t="n">
        <v>10711</v>
      </c>
      <c r="F8" s="13" t="n">
        <f aca="false">IFERROR(C8/B8-1,"")</f>
        <v>0.0278280915527747</v>
      </c>
      <c r="G8" s="13" t="n">
        <f aca="false">IFERROR(D8/C8-1,"")</f>
        <v>-0.0655238705543095</v>
      </c>
      <c r="H8" s="13" t="n">
        <f aca="false">IFERROR(E8/D8-1,"")</f>
        <v>-0.0818618206754672</v>
      </c>
      <c r="I8" s="12" t="n">
        <v>2040</v>
      </c>
      <c r="J8" s="12" t="n">
        <v>2038</v>
      </c>
      <c r="K8" s="12" t="n">
        <v>2136</v>
      </c>
      <c r="L8" s="12" t="n">
        <v>2137</v>
      </c>
      <c r="M8" s="13" t="n">
        <f aca="false">IFERROR(I8/B8,"")</f>
        <v>0.167956528898403</v>
      </c>
      <c r="N8" s="13" t="n">
        <f aca="false">IFERROR(J8/C8,"")</f>
        <v>0.163248958667094</v>
      </c>
      <c r="O8" s="13" t="n">
        <f aca="false">IFERROR(K8/D8,"")</f>
        <v>0.183096176924396</v>
      </c>
      <c r="P8" s="13" t="n">
        <f aca="false">IFERROR(L8/E8,"")</f>
        <v>0.199514517785454</v>
      </c>
      <c r="Q8" s="14" t="n">
        <v>-0.069</v>
      </c>
      <c r="R8" s="14" t="n">
        <v>0.1</v>
      </c>
      <c r="S8" s="14" t="n">
        <v>0.031</v>
      </c>
      <c r="T8" s="14" t="n">
        <v>-0.022</v>
      </c>
      <c r="U8" s="14" t="n">
        <v>0.005</v>
      </c>
      <c r="V8" s="14" t="n">
        <v>-0.017</v>
      </c>
    </row>
    <row r="9" customFormat="false" ht="15" hidden="false" customHeight="true" outlineLevel="0" collapsed="false">
      <c r="A9" s="11" t="s">
        <v>67</v>
      </c>
      <c r="B9" s="12" t="n">
        <v>7514</v>
      </c>
      <c r="C9" s="12" t="n">
        <v>8118</v>
      </c>
      <c r="D9" s="12" t="n">
        <v>8107</v>
      </c>
      <c r="E9" s="12" t="n">
        <v>8449</v>
      </c>
      <c r="F9" s="13" t="n">
        <f aca="false">IFERROR(C9/B9-1,"")</f>
        <v>0.0803832845355337</v>
      </c>
      <c r="G9" s="13" t="n">
        <f aca="false">IFERROR(D9/C9-1,"")</f>
        <v>-0.00135501355013545</v>
      </c>
      <c r="H9" s="13" t="n">
        <f aca="false">IFERROR(E9/D9-1,"")</f>
        <v>0.0421857653879363</v>
      </c>
      <c r="I9" s="12" t="n">
        <v>1205</v>
      </c>
      <c r="J9" s="12" t="n">
        <v>1364</v>
      </c>
      <c r="K9" s="12" t="n">
        <v>1364</v>
      </c>
      <c r="L9" s="12" t="n">
        <v>1299</v>
      </c>
      <c r="M9" s="13" t="n">
        <f aca="false">IFERROR(I9/B9,"")</f>
        <v>0.160367314346553</v>
      </c>
      <c r="N9" s="13" t="n">
        <f aca="false">IFERROR(J9/C9,"")</f>
        <v>0.168021680216802</v>
      </c>
      <c r="O9" s="13" t="n">
        <f aca="false">IFERROR(K9/D9,"")</f>
        <v>0.168249660786974</v>
      </c>
      <c r="P9" s="13" t="n">
        <f aca="false">IFERROR(L9/E9,"")</f>
        <v>0.153746005444431</v>
      </c>
      <c r="Q9" s="14" t="n">
        <v>0.048</v>
      </c>
      <c r="R9" s="14" t="n">
        <v>0.047</v>
      </c>
      <c r="S9" s="14" t="n">
        <v>0.094</v>
      </c>
      <c r="T9" s="14" t="n">
        <v>-0.002</v>
      </c>
      <c r="U9" s="14" t="n">
        <v>0.064</v>
      </c>
      <c r="V9" s="14" t="n">
        <v>0.062</v>
      </c>
    </row>
    <row r="10" customFormat="false" ht="15" hidden="false" customHeight="true" outlineLevel="0" collapsed="false">
      <c r="A10" s="11" t="s">
        <v>68</v>
      </c>
      <c r="B10" s="12" t="n">
        <v>15556</v>
      </c>
      <c r="C10" s="12" t="n">
        <v>18101</v>
      </c>
      <c r="D10" s="12" t="n">
        <v>18860</v>
      </c>
      <c r="E10" s="12" t="n">
        <v>18882</v>
      </c>
      <c r="F10" s="13" t="n">
        <f aca="false">IFERROR(C10/B10-1,"")</f>
        <v>0.1636024685009</v>
      </c>
      <c r="G10" s="13" t="n">
        <f aca="false">IFERROR(D10/C10-1,"")</f>
        <v>0.0419313850063532</v>
      </c>
      <c r="H10" s="13" t="n">
        <f aca="false">IFERROR(E10/D10-1,"")</f>
        <v>0.00116648992576884</v>
      </c>
      <c r="I10" s="12" t="n">
        <v>3282</v>
      </c>
      <c r="J10" s="12" t="n">
        <v>3706</v>
      </c>
      <c r="K10" s="12" t="n">
        <v>3912</v>
      </c>
      <c r="L10" s="12" t="n">
        <v>4087</v>
      </c>
      <c r="M10" s="13" t="n">
        <f aca="false">IFERROR(I10/B10,"")</f>
        <v>0.210979686294677</v>
      </c>
      <c r="N10" s="13" t="n">
        <f aca="false">IFERROR(J10/C10,"")</f>
        <v>0.204740069609414</v>
      </c>
      <c r="O10" s="13" t="n">
        <f aca="false">IFERROR(K10/D10,"")</f>
        <v>0.207423117709438</v>
      </c>
      <c r="P10" s="13" t="n">
        <f aca="false">IFERROR(L10/E10,"")</f>
        <v>0.216449528651626</v>
      </c>
      <c r="Q10" s="14" t="n">
        <v>0.043</v>
      </c>
      <c r="R10" s="14" t="n">
        <v>0.102</v>
      </c>
      <c r="S10" s="14" t="n">
        <v>0.145</v>
      </c>
      <c r="T10" s="14" t="n">
        <v>0.021</v>
      </c>
      <c r="U10" s="14" t="n">
        <v>0.006</v>
      </c>
      <c r="V10" s="14" t="n">
        <v>0.027</v>
      </c>
    </row>
    <row r="11" customFormat="false" ht="15" hidden="false" customHeight="true" outlineLevel="0" collapsed="false">
      <c r="A11" s="15" t="s">
        <v>57</v>
      </c>
      <c r="B11" s="16" t="n">
        <f aca="false">SUM(B4:B10)</f>
        <v>87088</v>
      </c>
      <c r="C11" s="16" t="n">
        <f aca="false">SUM(C4:C10)</f>
        <v>94424</v>
      </c>
      <c r="D11" s="16" t="n">
        <f aca="false">SUM(D4:D10)</f>
        <v>92998</v>
      </c>
      <c r="E11" s="16" t="n">
        <f aca="false">SUM(E4:E10)</f>
        <v>91354</v>
      </c>
      <c r="F11" s="17" t="n">
        <f aca="false">IFERROR(C11/B11-1,"")</f>
        <v>0.0842366342090759</v>
      </c>
      <c r="G11" s="17" t="n">
        <f aca="false">IFERROR(D11/C11-1,"")</f>
        <v>-0.0151020926882995</v>
      </c>
      <c r="H11" s="17" t="n">
        <f aca="false">IFERROR(E11/D11-1,"")</f>
        <v>-0.0176777995225704</v>
      </c>
      <c r="I11" s="18" t="n">
        <v>15119</v>
      </c>
      <c r="J11" s="18" t="n">
        <v>16103</v>
      </c>
      <c r="K11" s="18" t="n">
        <v>16053</v>
      </c>
      <c r="L11" s="18" t="n">
        <v>15704</v>
      </c>
      <c r="M11" s="17" t="n">
        <f aca="false">IFERROR(I11/B11,"")</f>
        <v>0.173606007716333</v>
      </c>
      <c r="N11" s="17" t="n">
        <f aca="false">IFERROR(J11/C11,"")</f>
        <v>0.170539269677201</v>
      </c>
      <c r="O11" s="17" t="n">
        <f aca="false">IFERROR(K11/D11,"")</f>
        <v>0.172616615411084</v>
      </c>
      <c r="P11" s="17" t="n">
        <f aca="false">IFERROR(L11/E11,"")</f>
        <v>0.171902708146332</v>
      </c>
      <c r="Q11" s="22"/>
      <c r="R11" s="22"/>
      <c r="S11" s="22"/>
      <c r="T11" s="22"/>
      <c r="U11" s="22"/>
      <c r="V11" s="22"/>
    </row>
    <row r="13" customFormat="false" ht="15" hidden="false" customHeight="true" outlineLevel="0" collapsed="false">
      <c r="A13" s="20" t="s">
        <v>69</v>
      </c>
      <c r="B13" s="20"/>
      <c r="C13" s="20"/>
      <c r="D13" s="20"/>
      <c r="E13" s="20"/>
      <c r="F13" s="20"/>
      <c r="G13" s="20"/>
      <c r="H13" s="20"/>
      <c r="I13" s="20"/>
      <c r="J13" s="20"/>
    </row>
    <row r="14" customFormat="false" ht="27.75" hidden="false" customHeight="true" outlineLevel="0" collapsed="false">
      <c r="A14" s="21" t="s">
        <v>70</v>
      </c>
      <c r="B14" s="21"/>
      <c r="C14" s="21"/>
      <c r="D14" s="21"/>
      <c r="E14" s="21"/>
      <c r="F14" s="21"/>
      <c r="G14" s="21"/>
      <c r="H14" s="21"/>
      <c r="I14" s="21"/>
      <c r="J14" s="21"/>
      <c r="K14" s="21"/>
      <c r="L14" s="21"/>
      <c r="M14" s="21"/>
      <c r="N14" s="21"/>
    </row>
  </sheetData>
  <mergeCells count="3">
    <mergeCell ref="A1:V1"/>
    <mergeCell ref="A13:J13"/>
    <mergeCell ref="A14:N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71484375" defaultRowHeight="15" zeroHeight="false" outlineLevelRow="0" outlineLevelCol="0"/>
  <cols>
    <col collapsed="false" customWidth="true" hidden="false" outlineLevel="0" max="1" min="1" style="8" width="22"/>
    <col collapsed="false" customWidth="true" hidden="false" outlineLevel="0" max="14" min="2" style="8" width="15"/>
  </cols>
  <sheetData>
    <row r="1" customFormat="false" ht="17.25" hidden="false" customHeight="true" outlineLevel="0" collapsed="false">
      <c r="A1" s="9" t="s">
        <v>71</v>
      </c>
      <c r="B1" s="9"/>
      <c r="C1" s="9"/>
      <c r="D1" s="9"/>
      <c r="E1" s="9"/>
      <c r="F1" s="9"/>
      <c r="G1" s="9"/>
      <c r="H1" s="9"/>
      <c r="I1" s="9"/>
      <c r="J1" s="9"/>
      <c r="K1" s="9"/>
      <c r="L1" s="9"/>
      <c r="M1" s="9"/>
      <c r="N1" s="9"/>
    </row>
    <row r="2" customFormat="false" ht="15" hidden="false" customHeight="true" outlineLevel="0" collapsed="false">
      <c r="A2" s="20" t="s">
        <v>72</v>
      </c>
      <c r="B2" s="20"/>
      <c r="C2" s="20"/>
      <c r="D2" s="20"/>
      <c r="E2" s="20"/>
      <c r="F2" s="20"/>
      <c r="G2" s="20"/>
      <c r="H2" s="20"/>
      <c r="I2" s="20"/>
      <c r="J2" s="20"/>
      <c r="K2" s="20"/>
      <c r="L2" s="20"/>
      <c r="M2" s="20"/>
      <c r="N2" s="20"/>
    </row>
    <row r="4" customFormat="false" ht="45" hidden="false" customHeight="true" outlineLevel="0" collapsed="false">
      <c r="A4" s="10" t="s">
        <v>23</v>
      </c>
      <c r="B4" s="10" t="s">
        <v>73</v>
      </c>
      <c r="C4" s="10" t="s">
        <v>26</v>
      </c>
      <c r="D4" s="10" t="s">
        <v>74</v>
      </c>
      <c r="E4" s="10" t="s">
        <v>75</v>
      </c>
      <c r="F4" s="10" t="s">
        <v>27</v>
      </c>
      <c r="G4" s="10" t="s">
        <v>76</v>
      </c>
      <c r="H4" s="10" t="s">
        <v>77</v>
      </c>
      <c r="I4" s="10" t="s">
        <v>33</v>
      </c>
      <c r="J4" s="10" t="s">
        <v>78</v>
      </c>
      <c r="K4" s="10" t="s">
        <v>79</v>
      </c>
      <c r="L4" s="10" t="s">
        <v>34</v>
      </c>
      <c r="M4" s="10" t="s">
        <v>80</v>
      </c>
      <c r="N4" s="10" t="s">
        <v>81</v>
      </c>
    </row>
    <row r="5" customFormat="false" ht="15" hidden="false" customHeight="true" outlineLevel="0" collapsed="false">
      <c r="A5" s="11" t="s">
        <v>49</v>
      </c>
      <c r="B5" s="12" t="n">
        <v>12553</v>
      </c>
      <c r="C5" s="23" t="n">
        <f aca="false">Segment_Data!D4</f>
        <v>25995</v>
      </c>
      <c r="D5" s="24" t="n">
        <f aca="false">C5-B5</f>
        <v>13442</v>
      </c>
      <c r="E5" s="12" t="n">
        <v>12234</v>
      </c>
      <c r="F5" s="23" t="n">
        <f aca="false">Segment_Data!E4</f>
        <v>25336</v>
      </c>
      <c r="G5" s="24" t="n">
        <f aca="false">F5-E5</f>
        <v>13102</v>
      </c>
      <c r="H5" s="12" t="n">
        <v>2713</v>
      </c>
      <c r="I5" s="23" t="n">
        <f aca="false">Segment_Data!K4</f>
        <v>5768</v>
      </c>
      <c r="J5" s="24" t="n">
        <f aca="false">I5-H5</f>
        <v>3055</v>
      </c>
      <c r="K5" s="12" t="n">
        <v>2662</v>
      </c>
      <c r="L5" s="23" t="n">
        <f aca="false">Segment_Data!L4</f>
        <v>5640</v>
      </c>
      <c r="M5" s="24" t="n">
        <f aca="false">L5-K5</f>
        <v>2978</v>
      </c>
      <c r="N5" s="13" t="n">
        <f aca="false">IFERROR(G5/D5-1,"")</f>
        <v>-0.0252938550810892</v>
      </c>
    </row>
    <row r="6" customFormat="false" ht="15" hidden="false" customHeight="true" outlineLevel="0" collapsed="false">
      <c r="A6" s="11" t="s">
        <v>50</v>
      </c>
      <c r="B6" s="12" t="n">
        <v>9467</v>
      </c>
      <c r="C6" s="23" t="n">
        <f aca="false">Segment_Data!D5</f>
        <v>19098</v>
      </c>
      <c r="D6" s="24" t="n">
        <f aca="false">C6-B6</f>
        <v>9631</v>
      </c>
      <c r="E6" s="12" t="n">
        <v>9283</v>
      </c>
      <c r="F6" s="23" t="n">
        <f aca="false">Segment_Data!E5</f>
        <v>18910</v>
      </c>
      <c r="G6" s="24" t="n">
        <f aca="false">F6-E6</f>
        <v>9627</v>
      </c>
      <c r="H6" s="12" t="n">
        <v>1570</v>
      </c>
      <c r="I6" s="23" t="n">
        <f aca="false">Segment_Data!K5</f>
        <v>3127</v>
      </c>
      <c r="J6" s="24" t="n">
        <f aca="false">I6-H6</f>
        <v>1557</v>
      </c>
      <c r="K6" s="12" t="n">
        <v>1644</v>
      </c>
      <c r="L6" s="23" t="n">
        <f aca="false">Segment_Data!L5</f>
        <v>3192</v>
      </c>
      <c r="M6" s="24" t="n">
        <f aca="false">L6-K6</f>
        <v>1548</v>
      </c>
      <c r="N6" s="13" t="n">
        <f aca="false">IFERROR(G6/D6-1,"")</f>
        <v>-0.00041532551136958</v>
      </c>
    </row>
    <row r="7" customFormat="false" ht="15" hidden="false" customHeight="true" outlineLevel="0" collapsed="false">
      <c r="A7" s="11" t="s">
        <v>51</v>
      </c>
      <c r="B7" s="12" t="n">
        <v>9060</v>
      </c>
      <c r="C7" s="23" t="n">
        <f aca="false">Segment_Data!D6</f>
        <v>17519</v>
      </c>
      <c r="D7" s="24" t="n">
        <f aca="false">C7-B7</f>
        <v>8459</v>
      </c>
      <c r="E7" s="12" t="n">
        <v>8441</v>
      </c>
      <c r="F7" s="23" t="n">
        <f aca="false">Segment_Data!E6</f>
        <v>16793</v>
      </c>
      <c r="G7" s="24" t="n">
        <f aca="false">F7-E7</f>
        <v>8352</v>
      </c>
      <c r="H7" s="12" t="n">
        <v>2068</v>
      </c>
      <c r="I7" s="23" t="n">
        <f aca="false">Segment_Data!K6</f>
        <v>4109</v>
      </c>
      <c r="J7" s="24" t="n">
        <f aca="false">I7-H7</f>
        <v>2041</v>
      </c>
      <c r="K7" s="12" t="n">
        <v>2006</v>
      </c>
      <c r="L7" s="23" t="n">
        <f aca="false">Segment_Data!L6</f>
        <v>3916</v>
      </c>
      <c r="M7" s="24" t="n">
        <f aca="false">L7-K7</f>
        <v>1910</v>
      </c>
      <c r="N7" s="13" t="n">
        <f aca="false">IFERROR(G7/D7-1,"")</f>
        <v>-0.0126492493202506</v>
      </c>
    </row>
    <row r="8" customFormat="false" ht="15" hidden="false" customHeight="true" outlineLevel="0" collapsed="false">
      <c r="A8" s="11" t="s">
        <v>52</v>
      </c>
      <c r="B8" s="12" t="n">
        <v>6082</v>
      </c>
      <c r="C8" s="23" t="n">
        <f aca="false">Segment_Data!D7</f>
        <v>12196</v>
      </c>
      <c r="D8" s="24" t="n">
        <f aca="false">C8-B8</f>
        <v>6114</v>
      </c>
      <c r="E8" s="12" t="n">
        <v>6166</v>
      </c>
      <c r="F8" s="23" t="n">
        <f aca="false">Segment_Data!E7</f>
        <v>11933</v>
      </c>
      <c r="G8" s="24" t="n">
        <f aca="false">F8-E8</f>
        <v>5767</v>
      </c>
      <c r="H8" s="12" t="n">
        <v>1202</v>
      </c>
      <c r="I8" s="23" t="n">
        <f aca="false">Segment_Data!K7</f>
        <v>2520</v>
      </c>
      <c r="J8" s="24" t="n">
        <f aca="false">I8-H8</f>
        <v>1318</v>
      </c>
      <c r="K8" s="12" t="n">
        <v>1219</v>
      </c>
      <c r="L8" s="23" t="n">
        <f aca="false">Segment_Data!L7</f>
        <v>2429</v>
      </c>
      <c r="M8" s="24" t="n">
        <f aca="false">L8-K8</f>
        <v>1210</v>
      </c>
      <c r="N8" s="13" t="n">
        <f aca="false">IFERROR(G8/D8-1,"")</f>
        <v>-0.0567549885508669</v>
      </c>
    </row>
    <row r="9" customFormat="false" ht="15" hidden="false" customHeight="true" outlineLevel="0" collapsed="false">
      <c r="A9" s="11" t="s">
        <v>53</v>
      </c>
      <c r="B9" s="12" t="n">
        <v>2548</v>
      </c>
      <c r="C9" s="23" t="n">
        <f aca="false">Segment_Data!D8</f>
        <v>5037</v>
      </c>
      <c r="D9" s="24" t="n">
        <f aca="false">C9-B9</f>
        <v>2489</v>
      </c>
      <c r="E9" s="12" t="n">
        <v>2440</v>
      </c>
      <c r="F9" s="23" t="n">
        <f aca="false">Segment_Data!E8</f>
        <v>4973</v>
      </c>
      <c r="G9" s="24" t="n">
        <f aca="false">F9-E9</f>
        <v>2533</v>
      </c>
      <c r="H9" s="12" t="n">
        <v>422</v>
      </c>
      <c r="I9" s="23" t="n">
        <f aca="false">Segment_Data!K8</f>
        <v>832</v>
      </c>
      <c r="J9" s="24" t="n">
        <f aca="false">I9-H9</f>
        <v>410</v>
      </c>
      <c r="K9" s="12" t="n">
        <v>386</v>
      </c>
      <c r="L9" s="23" t="n">
        <f aca="false">Segment_Data!L8</f>
        <v>803</v>
      </c>
      <c r="M9" s="24" t="n">
        <f aca="false">L9-K9</f>
        <v>417</v>
      </c>
      <c r="N9" s="13" t="n">
        <f aca="false">IFERROR(G9/D9-1,"")</f>
        <v>0.0176777822418641</v>
      </c>
    </row>
    <row r="10" customFormat="false" ht="15" hidden="false" customHeight="true" outlineLevel="0" collapsed="false">
      <c r="A10" s="11" t="s">
        <v>54</v>
      </c>
      <c r="B10" s="12" t="n">
        <v>3318</v>
      </c>
      <c r="C10" s="23" t="n">
        <f aca="false">Segment_Data!D9</f>
        <v>6498</v>
      </c>
      <c r="D10" s="24" t="n">
        <f aca="false">C10-B10</f>
        <v>3180</v>
      </c>
      <c r="E10" s="12" t="n">
        <v>3239</v>
      </c>
      <c r="F10" s="23" t="n">
        <f aca="false">Segment_Data!E9</f>
        <v>6739</v>
      </c>
      <c r="G10" s="24" t="n">
        <f aca="false">F10-E10</f>
        <v>3500</v>
      </c>
      <c r="H10" s="12" t="n">
        <v>432</v>
      </c>
      <c r="I10" s="23" t="n">
        <f aca="false">Segment_Data!K9</f>
        <v>777</v>
      </c>
      <c r="J10" s="24" t="n">
        <f aca="false">I10-H10</f>
        <v>345</v>
      </c>
      <c r="K10" s="12" t="n">
        <v>433</v>
      </c>
      <c r="L10" s="23" t="n">
        <f aca="false">Segment_Data!L9</f>
        <v>943</v>
      </c>
      <c r="M10" s="24" t="n">
        <f aca="false">L10-K10</f>
        <v>510</v>
      </c>
      <c r="N10" s="13" t="n">
        <f aca="false">IFERROR(G10/D10-1,"")</f>
        <v>0.10062893081761</v>
      </c>
    </row>
    <row r="11" customFormat="false" ht="15" hidden="false" customHeight="true" outlineLevel="0" collapsed="false">
      <c r="A11" s="11" t="s">
        <v>55</v>
      </c>
      <c r="B11" s="12" t="n">
        <v>3128</v>
      </c>
      <c r="C11" s="23" t="n">
        <f aca="false">Segment_Data!D10</f>
        <v>6372</v>
      </c>
      <c r="D11" s="24" t="n">
        <f aca="false">C11-B11</f>
        <v>3244</v>
      </c>
      <c r="E11" s="12" t="n">
        <v>3096</v>
      </c>
      <c r="F11" s="23" t="n">
        <f aca="false">Segment_Data!E10</f>
        <v>6378</v>
      </c>
      <c r="G11" s="24" t="n">
        <f aca="false">F11-E11</f>
        <v>3282</v>
      </c>
      <c r="H11" s="12" t="n">
        <v>678</v>
      </c>
      <c r="I11" s="23" t="n">
        <f aca="false">Segment_Data!K10</f>
        <v>1291</v>
      </c>
      <c r="J11" s="24" t="n">
        <f aca="false">I11-H11</f>
        <v>613</v>
      </c>
      <c r="K11" s="12" t="n">
        <v>667</v>
      </c>
      <c r="L11" s="23" t="n">
        <f aca="false">Segment_Data!L10</f>
        <v>1278</v>
      </c>
      <c r="M11" s="24" t="n">
        <f aca="false">L11-K11</f>
        <v>611</v>
      </c>
      <c r="N11" s="13" t="n">
        <f aca="false">IFERROR(G11/D11-1,"")</f>
        <v>0.0117139334155363</v>
      </c>
    </row>
    <row r="12" customFormat="false" ht="15" hidden="false" customHeight="true" outlineLevel="0" collapsed="false">
      <c r="A12" s="11" t="s">
        <v>56</v>
      </c>
      <c r="B12" s="12" t="n">
        <v>137</v>
      </c>
      <c r="C12" s="23" t="n">
        <f aca="false">Segment_Data!D11</f>
        <v>283</v>
      </c>
      <c r="D12" s="24" t="n">
        <f aca="false">C12-B12</f>
        <v>146</v>
      </c>
      <c r="E12" s="12" t="n">
        <v>146</v>
      </c>
      <c r="F12" s="23" t="n">
        <f aca="false">Segment_Data!E11</f>
        <v>292</v>
      </c>
      <c r="G12" s="24" t="n">
        <f aca="false">F12-E12</f>
        <v>146</v>
      </c>
      <c r="H12" s="12" t="n">
        <v>-17</v>
      </c>
      <c r="I12" s="23" t="n">
        <f aca="false">Segment_Data!K11</f>
        <v>-12</v>
      </c>
      <c r="J12" s="24" t="n">
        <f aca="false">I12-H12</f>
        <v>5</v>
      </c>
      <c r="K12" s="12" t="n">
        <v>-5</v>
      </c>
      <c r="L12" s="23" t="n">
        <f aca="false">Segment_Data!L11</f>
        <v>-13</v>
      </c>
      <c r="M12" s="24" t="n">
        <f aca="false">L12-K12</f>
        <v>-8</v>
      </c>
      <c r="N12" s="13" t="n">
        <f aca="false">IFERROR(G12/D12-1,"")</f>
        <v>0</v>
      </c>
    </row>
    <row r="13" customFormat="false" ht="15" hidden="false" customHeight="true" outlineLevel="0" collapsed="false">
      <c r="A13" s="15" t="s">
        <v>57</v>
      </c>
      <c r="B13" s="16" t="n">
        <f aca="false">SUM(B5:B12)</f>
        <v>46293</v>
      </c>
      <c r="C13" s="16" t="n">
        <f aca="false">SUM(C5:C12)</f>
        <v>92998</v>
      </c>
      <c r="D13" s="16" t="n">
        <f aca="false">SUM(D5:D12)</f>
        <v>46705</v>
      </c>
      <c r="E13" s="16" t="n">
        <f aca="false">SUM(E5:E12)</f>
        <v>45045</v>
      </c>
      <c r="F13" s="16" t="n">
        <f aca="false">SUM(F5:F12)</f>
        <v>91354</v>
      </c>
      <c r="G13" s="16" t="n">
        <f aca="false">SUM(G5:G12)</f>
        <v>46309</v>
      </c>
      <c r="H13" s="18" t="n">
        <v>3798</v>
      </c>
      <c r="I13" s="25" t="n">
        <f aca="false">Segment_Data!K12</f>
        <v>16053</v>
      </c>
      <c r="J13" s="16" t="n">
        <f aca="false">I13-H13</f>
        <v>12255</v>
      </c>
      <c r="K13" s="18" t="n">
        <v>7841</v>
      </c>
      <c r="L13" s="25" t="n">
        <f aca="false">Segment_Data!L12</f>
        <v>15704</v>
      </c>
      <c r="M13" s="16" t="n">
        <f aca="false">L13-K13</f>
        <v>7863</v>
      </c>
      <c r="N13" s="17" t="n">
        <f aca="false">IFERROR(G13/D13-1,"")</f>
        <v>-0.008478749598544</v>
      </c>
    </row>
    <row r="15" customFormat="false" ht="27.75" hidden="false" customHeight="true" outlineLevel="0" collapsed="false">
      <c r="A15" s="21" t="s">
        <v>82</v>
      </c>
      <c r="B15" s="21"/>
      <c r="C15" s="21"/>
      <c r="D15" s="21"/>
      <c r="E15" s="21"/>
      <c r="F15" s="21"/>
      <c r="G15" s="21"/>
      <c r="H15" s="21"/>
      <c r="I15" s="21"/>
      <c r="J15" s="21"/>
      <c r="K15" s="21"/>
      <c r="L15" s="21"/>
      <c r="M15" s="21"/>
    </row>
  </sheetData>
  <mergeCells count="3">
    <mergeCell ref="A1:N1"/>
    <mergeCell ref="A2:N2"/>
    <mergeCell ref="A15:M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8" width="52"/>
    <col collapsed="false" customWidth="true" hidden="false" outlineLevel="0" max="5" min="2" style="8" width="14"/>
  </cols>
  <sheetData>
    <row r="1" customFormat="false" ht="15" hidden="false" customHeight="true" outlineLevel="0" collapsed="false">
      <c r="A1" s="26" t="s">
        <v>83</v>
      </c>
    </row>
    <row r="3" customFormat="false" ht="15" hidden="false" customHeight="true" outlineLevel="0" collapsed="false">
      <c r="A3" s="27" t="s">
        <v>84</v>
      </c>
      <c r="B3" s="27" t="s">
        <v>85</v>
      </c>
      <c r="C3" s="27" t="s">
        <v>86</v>
      </c>
      <c r="D3" s="27" t="s">
        <v>87</v>
      </c>
      <c r="E3" s="27" t="s">
        <v>88</v>
      </c>
    </row>
    <row r="4" customFormat="false" ht="15" hidden="false" customHeight="true" outlineLevel="0" collapsed="false">
      <c r="A4" s="28" t="s">
        <v>89</v>
      </c>
      <c r="B4" s="29" t="n">
        <v>87088</v>
      </c>
      <c r="C4" s="29" t="n">
        <v>94424</v>
      </c>
      <c r="D4" s="29" t="n">
        <v>92998</v>
      </c>
      <c r="E4" s="29" t="n">
        <v>91354</v>
      </c>
    </row>
    <row r="5" customFormat="false" ht="15" hidden="false" customHeight="true" outlineLevel="0" collapsed="false">
      <c r="A5" s="28" t="s">
        <v>90</v>
      </c>
      <c r="B5" s="29" t="n">
        <v>382</v>
      </c>
      <c r="C5" s="29" t="n">
        <v>356</v>
      </c>
      <c r="D5" s="29" t="n">
        <v>353</v>
      </c>
      <c r="E5" s="29" t="n">
        <v>366</v>
      </c>
    </row>
    <row r="6" customFormat="false" ht="15" hidden="false" customHeight="true" outlineLevel="0" collapsed="false">
      <c r="A6" s="28" t="s">
        <v>91</v>
      </c>
      <c r="B6" s="29" t="n">
        <v>-45468</v>
      </c>
      <c r="C6" s="29" t="n">
        <v>-51745</v>
      </c>
      <c r="D6" s="29" t="n">
        <v>-50328</v>
      </c>
      <c r="E6" s="29" t="n">
        <v>-48670</v>
      </c>
    </row>
    <row r="7" customFormat="false" ht="15" hidden="false" customHeight="true" outlineLevel="0" collapsed="false">
      <c r="A7" s="28" t="s">
        <v>92</v>
      </c>
      <c r="B7" s="29" t="n">
        <v>-7919</v>
      </c>
      <c r="C7" s="29" t="n">
        <v>-8386</v>
      </c>
      <c r="D7" s="29" t="n">
        <v>-7765</v>
      </c>
      <c r="E7" s="29" t="n">
        <v>-7567</v>
      </c>
    </row>
    <row r="8" customFormat="false" ht="15" hidden="false" customHeight="true" outlineLevel="0" collapsed="false">
      <c r="A8" s="28" t="s">
        <v>93</v>
      </c>
      <c r="B8" s="29" t="n">
        <v>-17294</v>
      </c>
      <c r="C8" s="29" t="n">
        <v>-16850</v>
      </c>
      <c r="D8" s="29" t="n">
        <v>-17549</v>
      </c>
      <c r="E8" s="29" t="n">
        <v>-18112</v>
      </c>
    </row>
    <row r="9" customFormat="false" ht="15" hidden="false" customHeight="true" outlineLevel="0" collapsed="false">
      <c r="A9" s="28" t="s">
        <v>94</v>
      </c>
      <c r="B9" s="29" t="n">
        <v>-1670</v>
      </c>
      <c r="C9" s="29" t="n">
        <v>-1696</v>
      </c>
      <c r="D9" s="29" t="n">
        <v>-1656</v>
      </c>
      <c r="E9" s="29" t="n">
        <v>-1667</v>
      </c>
    </row>
    <row r="10" customFormat="false" ht="15" hidden="false" customHeight="true" outlineLevel="0" collapsed="false">
      <c r="A10" s="30" t="s">
        <v>95</v>
      </c>
      <c r="B10" s="31" t="n">
        <f aca="false">SUM(B4:B9)</f>
        <v>15119</v>
      </c>
      <c r="C10" s="31" t="n">
        <f aca="false">SUM(C4:C9)</f>
        <v>16103</v>
      </c>
      <c r="D10" s="31" t="n">
        <f aca="false">SUM(D4:D9)</f>
        <v>16053</v>
      </c>
      <c r="E10" s="31" t="n">
        <f aca="false">SUM(E4:E9)</f>
        <v>15704</v>
      </c>
    </row>
    <row r="11" customFormat="false" ht="15" hidden="false" customHeight="true" outlineLevel="0" collapsed="false">
      <c r="A11" s="28" t="s">
        <v>96</v>
      </c>
      <c r="B11" s="29" t="n">
        <v>171</v>
      </c>
      <c r="C11" s="29" t="n">
        <v>107</v>
      </c>
      <c r="D11" s="29" t="n">
        <v>132</v>
      </c>
      <c r="E11" s="29" t="n">
        <v>124</v>
      </c>
    </row>
    <row r="12" customFormat="false" ht="15" hidden="false" customHeight="true" outlineLevel="0" collapsed="false">
      <c r="A12" s="28" t="s">
        <v>97</v>
      </c>
      <c r="B12" s="29" t="n">
        <v>-3131</v>
      </c>
      <c r="C12" s="29" t="n">
        <v>-3015</v>
      </c>
      <c r="D12" s="29" t="n">
        <v>-1665</v>
      </c>
      <c r="E12" s="29" t="n">
        <v>-1195</v>
      </c>
    </row>
    <row r="13" customFormat="false" ht="15" hidden="false" customHeight="true" outlineLevel="0" collapsed="false">
      <c r="A13" s="30" t="s">
        <v>98</v>
      </c>
      <c r="B13" s="31" t="n">
        <f aca="false">B10+B11+B12</f>
        <v>12159</v>
      </c>
      <c r="C13" s="31" t="n">
        <f aca="false">C10+C11+C12</f>
        <v>13195</v>
      </c>
      <c r="D13" s="31" t="n">
        <f aca="false">D10+D11+D12</f>
        <v>14520</v>
      </c>
      <c r="E13" s="31" t="n">
        <f aca="false">E10+E11+E12</f>
        <v>14633</v>
      </c>
    </row>
    <row r="14" customFormat="false" ht="15" hidden="false" customHeight="true" outlineLevel="0" collapsed="false">
      <c r="A14" s="28" t="s">
        <v>99</v>
      </c>
      <c r="B14" s="29" t="n">
        <v>698</v>
      </c>
      <c r="C14" s="29" t="n">
        <v>340</v>
      </c>
      <c r="D14" s="29" t="n">
        <v>298</v>
      </c>
      <c r="E14" s="29" t="n">
        <v>474</v>
      </c>
    </row>
    <row r="15" customFormat="false" ht="15" hidden="false" customHeight="true" outlineLevel="0" collapsed="false">
      <c r="A15" s="28" t="s">
        <v>100</v>
      </c>
      <c r="B15" s="29" t="n">
        <v>-1178</v>
      </c>
      <c r="C15" s="29" t="n">
        <v>-1209</v>
      </c>
      <c r="D15" s="29" t="n">
        <v>-755</v>
      </c>
      <c r="E15" s="29" t="n">
        <v>-383</v>
      </c>
    </row>
    <row r="16" customFormat="false" ht="15" hidden="false" customHeight="true" outlineLevel="0" collapsed="false">
      <c r="A16" s="30" t="s">
        <v>101</v>
      </c>
      <c r="B16" s="31" t="n">
        <f aca="false">B13+B14+B15</f>
        <v>11679</v>
      </c>
      <c r="C16" s="31" t="n">
        <f aca="false">C13+C14+C15</f>
        <v>12326</v>
      </c>
      <c r="D16" s="31" t="n">
        <f aca="false">D13+D14+D15</f>
        <v>14063</v>
      </c>
      <c r="E16" s="31" t="n">
        <f aca="false">E13+E14+E15</f>
        <v>14724</v>
      </c>
    </row>
    <row r="17" customFormat="false" ht="15" hidden="false" customHeight="true" outlineLevel="0" collapsed="false">
      <c r="A17" s="28" t="s">
        <v>102</v>
      </c>
      <c r="B17" s="29" t="n">
        <v>80</v>
      </c>
      <c r="C17" s="29" t="n">
        <v>210</v>
      </c>
      <c r="D17" s="29" t="n">
        <v>284</v>
      </c>
      <c r="E17" s="29" t="n">
        <v>358</v>
      </c>
    </row>
    <row r="18" customFormat="false" ht="15" hidden="false" customHeight="true" outlineLevel="0" collapsed="false">
      <c r="A18" s="28" t="s">
        <v>103</v>
      </c>
      <c r="B18" s="29" t="n">
        <v>-953</v>
      </c>
      <c r="C18" s="29" t="n">
        <v>-1250</v>
      </c>
      <c r="D18" s="29" t="n">
        <v>-1644</v>
      </c>
      <c r="E18" s="29" t="n">
        <v>-1843</v>
      </c>
    </row>
    <row r="19" customFormat="false" ht="15" hidden="false" customHeight="true" outlineLevel="0" collapsed="false">
      <c r="A19" s="32" t="s">
        <v>104</v>
      </c>
      <c r="B19" s="33" t="n">
        <f aca="false">B17+B18</f>
        <v>-873</v>
      </c>
      <c r="C19" s="33" t="n">
        <f aca="false">C17+C18</f>
        <v>-1040</v>
      </c>
      <c r="D19" s="33" t="n">
        <f aca="false">D17+D18</f>
        <v>-1360</v>
      </c>
      <c r="E19" s="33" t="n">
        <f aca="false">E17+E18</f>
        <v>-1485</v>
      </c>
    </row>
    <row r="20" customFormat="false" ht="15" hidden="false" customHeight="true" outlineLevel="0" collapsed="false">
      <c r="A20" s="30" t="s">
        <v>105</v>
      </c>
      <c r="B20" s="31" t="n">
        <f aca="false">B16+B19</f>
        <v>10806</v>
      </c>
      <c r="C20" s="31" t="n">
        <f aca="false">C16+C19</f>
        <v>11286</v>
      </c>
      <c r="D20" s="31" t="n">
        <f aca="false">D16+D19</f>
        <v>12703</v>
      </c>
      <c r="E20" s="31" t="n">
        <f aca="false">E16+E19</f>
        <v>13239</v>
      </c>
    </row>
    <row r="21" customFormat="false" ht="15" hidden="false" customHeight="true" outlineLevel="0" collapsed="false">
      <c r="A21" s="28" t="s">
        <v>106</v>
      </c>
      <c r="B21" s="29" t="n">
        <v>8651</v>
      </c>
      <c r="C21" s="29" t="n">
        <v>1040</v>
      </c>
      <c r="D21" s="29" t="n">
        <v>1120</v>
      </c>
      <c r="E21" s="29" t="n">
        <v>1249</v>
      </c>
    </row>
    <row r="22" customFormat="false" ht="15" hidden="false" customHeight="true" outlineLevel="0" collapsed="false">
      <c r="A22" s="28" t="s">
        <v>107</v>
      </c>
      <c r="B22" s="29" t="n">
        <v>-2261</v>
      </c>
      <c r="C22" s="29" t="n">
        <v>-2730</v>
      </c>
      <c r="D22" s="29" t="n">
        <v>-2314</v>
      </c>
      <c r="E22" s="29" t="n">
        <v>-3314</v>
      </c>
    </row>
    <row r="23" customFormat="false" ht="15" hidden="false" customHeight="true" outlineLevel="0" collapsed="false">
      <c r="A23" s="30" t="s">
        <v>108</v>
      </c>
      <c r="B23" s="31" t="n">
        <f aca="false">B20+B21+B22</f>
        <v>17196</v>
      </c>
      <c r="C23" s="31" t="n">
        <f aca="false">C20+C21+C22</f>
        <v>9596</v>
      </c>
      <c r="D23" s="31" t="n">
        <f aca="false">D20+D21+D22</f>
        <v>11509</v>
      </c>
      <c r="E23" s="31" t="n">
        <f aca="false">E20+E21+E22</f>
        <v>11174</v>
      </c>
    </row>
    <row r="24" customFormat="false" ht="15" hidden="false" customHeight="true" outlineLevel="0" collapsed="false">
      <c r="A24" s="28" t="s">
        <v>109</v>
      </c>
      <c r="B24" s="29" t="n">
        <v>291</v>
      </c>
      <c r="C24" s="29" t="n">
        <v>326</v>
      </c>
      <c r="D24" s="29" t="n">
        <v>300</v>
      </c>
      <c r="E24" s="29" t="n">
        <v>290</v>
      </c>
    </row>
    <row r="25" customFormat="false" ht="15" hidden="false" customHeight="true" outlineLevel="0" collapsed="false">
      <c r="A25" s="30" t="s">
        <v>110</v>
      </c>
      <c r="B25" s="31" t="n">
        <f aca="false">B23-B24</f>
        <v>16905</v>
      </c>
      <c r="C25" s="31" t="n">
        <f aca="false">C23-C24</f>
        <v>9270</v>
      </c>
      <c r="D25" s="31" t="n">
        <f aca="false">D23-D24</f>
        <v>11209</v>
      </c>
      <c r="E25" s="31" t="n">
        <f aca="false">E23-E24</f>
        <v>10884</v>
      </c>
    </row>
    <row r="27" customFormat="false" ht="15" hidden="false" customHeight="true" outlineLevel="0" collapsed="false">
      <c r="A27" s="28" t="s">
        <v>111</v>
      </c>
      <c r="B27" s="34" t="n">
        <f aca="false">IFERROR(B10/B4,"")</f>
        <v>0.173606007716333</v>
      </c>
      <c r="C27" s="34" t="n">
        <f aca="false">IFERROR(C10/C4,"")</f>
        <v>0.170539269677201</v>
      </c>
      <c r="D27" s="34" t="n">
        <f aca="false">IFERROR(D10/D4,"")</f>
        <v>0.172616615411084</v>
      </c>
      <c r="E27" s="34" t="n">
        <f aca="false">IFERROR(E10/E4,"")</f>
        <v>0.171902708146332</v>
      </c>
    </row>
    <row r="28" customFormat="false" ht="15" hidden="false" customHeight="true" outlineLevel="0" collapsed="false">
      <c r="A28" s="28" t="s">
        <v>112</v>
      </c>
      <c r="B28" s="34" t="n">
        <f aca="false">IFERROR(B13/B4,"")</f>
        <v>0.139617398493478</v>
      </c>
      <c r="C28" s="34" t="n">
        <f aca="false">IFERROR(C13/C4,"")</f>
        <v>0.139742014742015</v>
      </c>
      <c r="D28" s="34" t="n">
        <f aca="false">IFERROR(D13/D4,"")</f>
        <v>0.15613238994387</v>
      </c>
      <c r="E28" s="34" t="n">
        <f aca="false">IFERROR(E13/E4,"")</f>
        <v>0.160179083565033</v>
      </c>
    </row>
    <row r="29" customFormat="false" ht="15" hidden="false" customHeight="true" outlineLevel="0" collapsed="false">
      <c r="A29" s="28" t="s">
        <v>113</v>
      </c>
      <c r="B29" s="34" t="n">
        <f aca="false">IFERROR(B16/B4,"")</f>
        <v>0.134105732133015</v>
      </c>
      <c r="C29" s="34" t="n">
        <f aca="false">IFERROR(C16/C4,"")</f>
        <v>0.130538846056087</v>
      </c>
      <c r="D29" s="34" t="n">
        <f aca="false">IFERROR(D16/D4,"")</f>
        <v>0.151218305770017</v>
      </c>
      <c r="E29" s="34" t="n">
        <f aca="false">IFERROR(E16/E4,"")</f>
        <v>0.161175208529457</v>
      </c>
    </row>
    <row r="30" customFormat="false" ht="15" hidden="false" customHeight="true" outlineLevel="0" collapsed="false">
      <c r="A30" s="28" t="s">
        <v>114</v>
      </c>
      <c r="B30" s="34" t="n">
        <f aca="false">IFERROR(B25/B4,"")</f>
        <v>0.194113999632556</v>
      </c>
      <c r="C30" s="34" t="n">
        <f aca="false">IFERROR(C25/C4,"")</f>
        <v>0.0981741930017792</v>
      </c>
      <c r="D30" s="34" t="n">
        <f aca="false">IFERROR(D25/D4,"")</f>
        <v>0.120529473752124</v>
      </c>
      <c r="E30" s="34" t="n">
        <f aca="false">IFERROR(E25/E4,"")</f>
        <v>0.119140924316396</v>
      </c>
    </row>
    <row r="31" customFormat="false" ht="15" hidden="false" customHeight="true" outlineLevel="0" collapsed="false">
      <c r="A31" s="28" t="s">
        <v>115</v>
      </c>
      <c r="B31" s="34" t="n">
        <f aca="false">IFERROR(-B22/B20,"")</f>
        <v>0.209235609846382</v>
      </c>
      <c r="C31" s="34" t="n">
        <f aca="false">IFERROR(-C22/C20,"")</f>
        <v>0.241892610313663</v>
      </c>
      <c r="D31" s="34" t="n">
        <f aca="false">IFERROR(-D22/D20,"")</f>
        <v>0.182161694088011</v>
      </c>
      <c r="E31" s="34" t="n">
        <f aca="false">IFERROR(-E22/E20,"")</f>
        <v>0.250321021225168</v>
      </c>
    </row>
    <row r="33" customFormat="false" ht="15" hidden="false" customHeight="true" outlineLevel="0" collapsed="false">
      <c r="A33" s="28" t="s">
        <v>116</v>
      </c>
      <c r="B33" s="35" t="n">
        <v>6.06</v>
      </c>
      <c r="C33" s="35" t="n">
        <v>3.42</v>
      </c>
      <c r="D33" s="35" t="n">
        <v>4.24</v>
      </c>
      <c r="E33" s="35" t="n">
        <v>4.19</v>
      </c>
    </row>
    <row r="34" customFormat="false" ht="15" hidden="false" customHeight="true" outlineLevel="0" collapsed="false">
      <c r="A34" s="28" t="s">
        <v>117</v>
      </c>
      <c r="B34" s="35" t="n">
        <v>6.06</v>
      </c>
      <c r="C34" s="35" t="n">
        <v>3.42</v>
      </c>
      <c r="D34" s="35" t="n">
        <v>4.23</v>
      </c>
      <c r="E34" s="35" t="n">
        <v>4.19</v>
      </c>
    </row>
    <row r="36" customFormat="false" ht="30" hidden="false" customHeight="true" outlineLevel="0" collapsed="false">
      <c r="A36" s="36" t="s">
        <v>118</v>
      </c>
    </row>
    <row r="37" customFormat="false" ht="30" hidden="false" customHeight="true" outlineLevel="0" collapsed="false">
      <c r="A37" s="36" t="s">
        <v>119</v>
      </c>
    </row>
    <row r="38" customFormat="false" ht="30" hidden="false" customHeight="true" outlineLevel="0" collapsed="false">
      <c r="A38" s="36" t="s">
        <v>120</v>
      </c>
    </row>
    <row r="39" customFormat="false" ht="30" hidden="false" customHeight="true" outlineLevel="0" collapsed="false">
      <c r="A39" s="36" t="s">
        <v>121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8" width="58"/>
    <col collapsed="false" customWidth="true" hidden="false" outlineLevel="0" max="5" min="2" style="8" width="14"/>
  </cols>
  <sheetData>
    <row r="1" customFormat="false" ht="15" hidden="false" customHeight="true" outlineLevel="0" collapsed="false">
      <c r="A1" s="26" t="s">
        <v>122</v>
      </c>
    </row>
    <row r="3" customFormat="false" ht="15" hidden="false" customHeight="true" outlineLevel="0" collapsed="false">
      <c r="A3" s="27" t="s">
        <v>84</v>
      </c>
      <c r="B3" s="27" t="s">
        <v>85</v>
      </c>
      <c r="C3" s="27" t="s">
        <v>86</v>
      </c>
      <c r="D3" s="27" t="s">
        <v>87</v>
      </c>
      <c r="E3" s="27" t="s">
        <v>88</v>
      </c>
    </row>
    <row r="4" customFormat="false" ht="15" hidden="false" customHeight="true" outlineLevel="0" collapsed="false">
      <c r="A4" s="37" t="s">
        <v>123</v>
      </c>
    </row>
    <row r="5" customFormat="false" ht="15" hidden="false" customHeight="true" outlineLevel="0" collapsed="false">
      <c r="A5" s="32" t="s">
        <v>124</v>
      </c>
      <c r="B5" s="33" t="n">
        <f aca="false">Income_Statement!B16</f>
        <v>11679</v>
      </c>
      <c r="C5" s="33" t="n">
        <f aca="false">Income_Statement!C16</f>
        <v>12326</v>
      </c>
      <c r="D5" s="33" t="n">
        <f aca="false">Income_Statement!D16</f>
        <v>14063</v>
      </c>
      <c r="E5" s="33" t="n">
        <f aca="false">Income_Statement!E16</f>
        <v>14724</v>
      </c>
    </row>
    <row r="6" customFormat="false" ht="15" hidden="false" customHeight="true" outlineLevel="0" collapsed="false">
      <c r="A6" s="28" t="s">
        <v>125</v>
      </c>
      <c r="B6" s="29" t="n">
        <v>3440</v>
      </c>
      <c r="C6" s="29" t="n">
        <v>3541</v>
      </c>
      <c r="D6" s="29" t="n">
        <v>3458</v>
      </c>
      <c r="E6" s="29" t="n">
        <v>3582</v>
      </c>
    </row>
    <row r="7" customFormat="false" ht="15" hidden="false" customHeight="true" outlineLevel="0" collapsed="false">
      <c r="A7" s="28" t="s">
        <v>126</v>
      </c>
      <c r="B7" s="29" t="n">
        <v>2614</v>
      </c>
      <c r="C7" s="29" t="n">
        <v>2726</v>
      </c>
      <c r="D7" s="29" t="n">
        <v>647</v>
      </c>
      <c r="E7" s="29" t="n">
        <v>580</v>
      </c>
    </row>
    <row r="8" customFormat="false" ht="15" hidden="false" customHeight="true" outlineLevel="0" collapsed="false">
      <c r="A8" s="28" t="s">
        <v>127</v>
      </c>
      <c r="B8" s="29" t="n">
        <v>-235</v>
      </c>
      <c r="C8" s="29" t="n">
        <v>79</v>
      </c>
      <c r="D8" s="29" t="n">
        <v>221</v>
      </c>
      <c r="E8" s="29" t="n">
        <v>62</v>
      </c>
    </row>
    <row r="9" customFormat="false" ht="15" hidden="false" customHeight="true" outlineLevel="0" collapsed="false">
      <c r="A9" s="28" t="s">
        <v>128</v>
      </c>
      <c r="B9" s="29" t="n">
        <v>-253</v>
      </c>
      <c r="C9" s="29" t="n">
        <v>216</v>
      </c>
      <c r="D9" s="29" t="n">
        <v>82</v>
      </c>
      <c r="E9" s="29" t="n">
        <v>-229</v>
      </c>
    </row>
    <row r="10" customFormat="false" ht="15" hidden="false" customHeight="true" outlineLevel="0" collapsed="false">
      <c r="A10" s="30" t="s">
        <v>129</v>
      </c>
      <c r="B10" s="31" t="n">
        <f aca="false">SUM(B5:B9)</f>
        <v>17245</v>
      </c>
      <c r="C10" s="31" t="n">
        <f aca="false">SUM(C5:C9)</f>
        <v>18888</v>
      </c>
      <c r="D10" s="31" t="n">
        <f aca="false">SUM(D5:D9)</f>
        <v>18471</v>
      </c>
      <c r="E10" s="31" t="n">
        <f aca="false">SUM(E5:E9)</f>
        <v>18719</v>
      </c>
    </row>
    <row r="11" customFormat="false" ht="15" hidden="false" customHeight="true" outlineLevel="0" collapsed="false">
      <c r="A11" s="28" t="s">
        <v>130</v>
      </c>
      <c r="B11" s="29" t="n">
        <v>-173</v>
      </c>
      <c r="C11" s="29" t="n">
        <v>-3133</v>
      </c>
      <c r="D11" s="29" t="n">
        <v>1134</v>
      </c>
      <c r="E11" s="29" t="n">
        <v>1208</v>
      </c>
    </row>
    <row r="12" customFormat="false" ht="15" hidden="false" customHeight="true" outlineLevel="0" collapsed="false">
      <c r="A12" s="28" t="s">
        <v>131</v>
      </c>
      <c r="B12" s="29" t="n">
        <v>-427</v>
      </c>
      <c r="C12" s="29" t="n">
        <v>-514</v>
      </c>
      <c r="D12" s="29" t="n">
        <v>-425</v>
      </c>
      <c r="E12" s="29" t="n">
        <v>-334</v>
      </c>
    </row>
    <row r="13" customFormat="false" ht="15" hidden="false" customHeight="true" outlineLevel="0" collapsed="false">
      <c r="A13" s="30" t="s">
        <v>132</v>
      </c>
      <c r="B13" s="31" t="n">
        <f aca="false">B10+B11+B12</f>
        <v>16645</v>
      </c>
      <c r="C13" s="31" t="n">
        <f aca="false">C10+C11+C12</f>
        <v>15241</v>
      </c>
      <c r="D13" s="31" t="n">
        <f aca="false">D10+D11+D12</f>
        <v>19180</v>
      </c>
      <c r="E13" s="31" t="n">
        <f aca="false">E10+E11+E12</f>
        <v>19593</v>
      </c>
    </row>
    <row r="14" customFormat="false" ht="15" hidden="false" customHeight="true" outlineLevel="0" collapsed="false">
      <c r="A14" s="28" t="s">
        <v>133</v>
      </c>
      <c r="B14" s="29" t="n">
        <v>-753</v>
      </c>
      <c r="C14" s="29" t="n">
        <v>-953</v>
      </c>
      <c r="D14" s="29" t="n">
        <v>-1330</v>
      </c>
      <c r="E14" s="29" t="n">
        <v>-1539</v>
      </c>
    </row>
    <row r="15" customFormat="false" ht="15" hidden="false" customHeight="true" outlineLevel="0" collapsed="false">
      <c r="A15" s="28" t="s">
        <v>134</v>
      </c>
      <c r="B15" s="29" t="n">
        <v>43</v>
      </c>
      <c r="C15" s="29" t="n">
        <v>118</v>
      </c>
      <c r="D15" s="29" t="n">
        <v>193</v>
      </c>
      <c r="E15" s="29" t="n">
        <v>273</v>
      </c>
    </row>
    <row r="16" customFormat="false" ht="15" hidden="false" customHeight="true" outlineLevel="0" collapsed="false">
      <c r="A16" s="28" t="s">
        <v>135</v>
      </c>
      <c r="B16" s="29" t="n">
        <v>-2722</v>
      </c>
      <c r="C16" s="29" t="n">
        <v>-3107</v>
      </c>
      <c r="D16" s="29" t="n">
        <v>-2801</v>
      </c>
      <c r="E16" s="29" t="n">
        <v>-2411</v>
      </c>
    </row>
    <row r="17" customFormat="false" ht="15" hidden="false" customHeight="true" outlineLevel="0" collapsed="false">
      <c r="A17" s="28" t="s">
        <v>136</v>
      </c>
      <c r="B17" s="29" t="n">
        <v>651</v>
      </c>
      <c r="C17" s="29" t="n">
        <v>608</v>
      </c>
      <c r="D17" s="29" t="n">
        <v>699</v>
      </c>
      <c r="E17" s="29" t="n">
        <v>759</v>
      </c>
    </row>
    <row r="18" customFormat="false" ht="15" hidden="false" customHeight="true" outlineLevel="0" collapsed="false">
      <c r="A18" s="30" t="s">
        <v>137</v>
      </c>
      <c r="B18" s="31" t="n">
        <f aca="false">B13+B14+B15+B16+B17</f>
        <v>13864</v>
      </c>
      <c r="C18" s="31" t="n">
        <f aca="false">C13+C14+C15+C16+C17</f>
        <v>11907</v>
      </c>
      <c r="D18" s="31" t="n">
        <f aca="false">D13+D14+D15+D16+D17</f>
        <v>15941</v>
      </c>
      <c r="E18" s="31" t="n">
        <f aca="false">E13+E14+E15+E16+E17</f>
        <v>16675</v>
      </c>
    </row>
    <row r="20" customFormat="false" ht="15" hidden="false" customHeight="true" outlineLevel="0" collapsed="false">
      <c r="A20" s="37" t="s">
        <v>138</v>
      </c>
    </row>
    <row r="21" customFormat="false" ht="15" hidden="false" customHeight="true" outlineLevel="0" collapsed="false">
      <c r="A21" s="28" t="s">
        <v>139</v>
      </c>
      <c r="B21" s="29" t="n">
        <v>-4880</v>
      </c>
      <c r="C21" s="29" t="n">
        <v>-5095</v>
      </c>
      <c r="D21" s="29" t="n">
        <v>-5714</v>
      </c>
      <c r="E21" s="29" t="n">
        <v>-5638</v>
      </c>
    </row>
    <row r="22" customFormat="false" ht="15" hidden="false" customHeight="true" outlineLevel="0" collapsed="false">
      <c r="A22" s="28" t="s">
        <v>140</v>
      </c>
      <c r="B22" s="29" t="n">
        <v>-461</v>
      </c>
      <c r="C22" s="29" t="n">
        <v>-266</v>
      </c>
      <c r="D22" s="29" t="n">
        <v>-489</v>
      </c>
      <c r="E22" s="29" t="n">
        <v>-325</v>
      </c>
    </row>
    <row r="23" customFormat="false" ht="15" hidden="false" customHeight="true" outlineLevel="0" collapsed="false">
      <c r="A23" s="28" t="s">
        <v>141</v>
      </c>
      <c r="B23" s="29" t="n">
        <v>-6394</v>
      </c>
      <c r="C23" s="29" t="n">
        <v>-1710</v>
      </c>
      <c r="D23" s="29" t="n">
        <v>-211</v>
      </c>
      <c r="E23" s="29" t="n">
        <v>-809</v>
      </c>
    </row>
    <row r="24" customFormat="false" ht="15" hidden="false" customHeight="true" outlineLevel="0" collapsed="false">
      <c r="A24" s="28" t="s">
        <v>142</v>
      </c>
      <c r="B24" s="29" t="n">
        <v>3530</v>
      </c>
      <c r="C24" s="29" t="n">
        <v>160</v>
      </c>
      <c r="D24" s="29" t="n">
        <v>215</v>
      </c>
      <c r="E24" s="29" t="n">
        <v>-23</v>
      </c>
    </row>
    <row r="25" customFormat="false" ht="15" hidden="false" customHeight="true" outlineLevel="0" collapsed="false">
      <c r="A25" s="28" t="s">
        <v>143</v>
      </c>
      <c r="B25" s="29" t="n">
        <v>-715</v>
      </c>
      <c r="C25" s="29" t="n">
        <v>-918</v>
      </c>
      <c r="D25" s="29" t="n">
        <v>-582</v>
      </c>
      <c r="E25" s="29" t="n">
        <v>-532</v>
      </c>
    </row>
    <row r="26" customFormat="false" ht="15" hidden="false" customHeight="true" outlineLevel="0" collapsed="false">
      <c r="A26" s="28" t="s">
        <v>144</v>
      </c>
      <c r="B26" s="29" t="n">
        <v>9294</v>
      </c>
      <c r="C26" s="29" t="n">
        <v>0</v>
      </c>
      <c r="D26" s="29" t="n">
        <v>0</v>
      </c>
      <c r="E26" s="29" t="n">
        <v>0</v>
      </c>
    </row>
    <row r="27" customFormat="false" ht="15" hidden="false" customHeight="true" outlineLevel="0" collapsed="false">
      <c r="A27" s="28" t="s">
        <v>145</v>
      </c>
      <c r="B27" s="29" t="n">
        <v>-3610</v>
      </c>
      <c r="C27" s="29" t="n">
        <v>5902</v>
      </c>
      <c r="D27" s="29" t="n">
        <v>-80</v>
      </c>
      <c r="E27" s="29" t="n">
        <v>-1251</v>
      </c>
    </row>
    <row r="28" customFormat="false" ht="15" hidden="false" customHeight="true" outlineLevel="0" collapsed="false">
      <c r="A28" s="28" t="s">
        <v>146</v>
      </c>
      <c r="B28" s="29" t="n">
        <v>192</v>
      </c>
      <c r="C28" s="29" t="n">
        <v>24</v>
      </c>
      <c r="D28" s="29" t="n">
        <v>665</v>
      </c>
      <c r="E28" s="29" t="n">
        <v>-46</v>
      </c>
    </row>
    <row r="29" customFormat="false" ht="15" hidden="false" customHeight="true" outlineLevel="0" collapsed="false">
      <c r="A29" s="30" t="s">
        <v>147</v>
      </c>
      <c r="B29" s="31" t="n">
        <f aca="false">SUM(B21:B28)</f>
        <v>-3044</v>
      </c>
      <c r="C29" s="31" t="n">
        <f aca="false">SUM(C21:C28)</f>
        <v>-1903</v>
      </c>
      <c r="D29" s="31" t="n">
        <f aca="false">SUM(D21:D28)</f>
        <v>-6196</v>
      </c>
      <c r="E29" s="31" t="n">
        <f aca="false">SUM(E21:E28)</f>
        <v>-8624</v>
      </c>
    </row>
    <row r="31" customFormat="false" ht="15" hidden="false" customHeight="true" outlineLevel="0" collapsed="false">
      <c r="A31" s="37" t="s">
        <v>148</v>
      </c>
    </row>
    <row r="32" customFormat="false" ht="15" hidden="false" customHeight="true" outlineLevel="0" collapsed="false">
      <c r="A32" s="28" t="s">
        <v>149</v>
      </c>
      <c r="B32" s="29" t="n">
        <v>-7681</v>
      </c>
      <c r="C32" s="29" t="n">
        <v>-7618</v>
      </c>
      <c r="D32" s="29" t="n">
        <v>-7829</v>
      </c>
      <c r="E32" s="29" t="n">
        <v>-7816</v>
      </c>
    </row>
    <row r="33" customFormat="false" ht="15" hidden="false" customHeight="true" outlineLevel="0" collapsed="false">
      <c r="A33" s="28" t="s">
        <v>150</v>
      </c>
      <c r="B33" s="29" t="n">
        <v>-302</v>
      </c>
      <c r="C33" s="29" t="n">
        <v>-284</v>
      </c>
      <c r="D33" s="29" t="n">
        <v>-323</v>
      </c>
      <c r="E33" s="29" t="n">
        <v>-174</v>
      </c>
    </row>
    <row r="34" customFormat="false" ht="15" hidden="false" customHeight="true" outlineLevel="0" collapsed="false">
      <c r="A34" s="28" t="s">
        <v>151</v>
      </c>
      <c r="B34" s="29" t="n">
        <v>-601</v>
      </c>
      <c r="C34" s="29" t="n">
        <v>-605</v>
      </c>
      <c r="D34" s="29" t="n">
        <v>-52</v>
      </c>
      <c r="E34" s="29" t="n">
        <v>-27</v>
      </c>
    </row>
    <row r="35" customFormat="false" ht="15" hidden="false" customHeight="true" outlineLevel="0" collapsed="false">
      <c r="A35" s="28" t="s">
        <v>152</v>
      </c>
      <c r="B35" s="29" t="n">
        <v>-6548</v>
      </c>
      <c r="C35" s="29" t="n">
        <v>-10679</v>
      </c>
      <c r="D35" s="29" t="n">
        <v>-5234</v>
      </c>
      <c r="E35" s="29" t="n">
        <v>-4678</v>
      </c>
    </row>
    <row r="36" customFormat="false" ht="15" hidden="false" customHeight="true" outlineLevel="0" collapsed="false">
      <c r="A36" s="28" t="s">
        <v>153</v>
      </c>
      <c r="B36" s="29" t="n">
        <v>11339</v>
      </c>
      <c r="C36" s="29" t="n">
        <v>10936</v>
      </c>
      <c r="D36" s="29" t="n">
        <v>9806</v>
      </c>
      <c r="E36" s="29" t="n">
        <v>7992</v>
      </c>
    </row>
    <row r="37" customFormat="false" ht="15" hidden="false" customHeight="true" outlineLevel="0" collapsed="false">
      <c r="A37" s="28" t="s">
        <v>154</v>
      </c>
      <c r="B37" s="29" t="n">
        <v>-4474</v>
      </c>
      <c r="C37" s="29" t="n">
        <v>-3283</v>
      </c>
      <c r="D37" s="29" t="n">
        <v>-3589</v>
      </c>
      <c r="E37" s="29" t="n">
        <v>-5055</v>
      </c>
    </row>
    <row r="38" customFormat="false" ht="15" hidden="false" customHeight="true" outlineLevel="0" collapsed="false">
      <c r="A38" s="28" t="s">
        <v>155</v>
      </c>
      <c r="B38" s="29" t="n">
        <v>-885</v>
      </c>
      <c r="C38" s="29" t="n">
        <v>148</v>
      </c>
      <c r="D38" s="29" t="n">
        <v>-2537</v>
      </c>
      <c r="E38" s="29" t="n">
        <v>2396</v>
      </c>
    </row>
    <row r="39" customFormat="false" ht="15" hidden="false" customHeight="true" outlineLevel="0" collapsed="false">
      <c r="A39" s="30" t="s">
        <v>156</v>
      </c>
      <c r="B39" s="31" t="n">
        <f aca="false">SUM(B32:B38)</f>
        <v>-9152</v>
      </c>
      <c r="C39" s="31" t="n">
        <f aca="false">SUM(C32:C38)</f>
        <v>-11385</v>
      </c>
      <c r="D39" s="31" t="n">
        <f aca="false">SUM(D32:D38)</f>
        <v>-9758</v>
      </c>
      <c r="E39" s="31" t="n">
        <f aca="false">SUM(E32:E38)</f>
        <v>-7362</v>
      </c>
    </row>
    <row r="41" customFormat="false" ht="15" hidden="false" customHeight="true" outlineLevel="0" collapsed="false">
      <c r="A41" s="37" t="s">
        <v>157</v>
      </c>
    </row>
    <row r="42" customFormat="false" ht="15" hidden="false" customHeight="true" outlineLevel="0" collapsed="false">
      <c r="A42" s="28" t="s">
        <v>158</v>
      </c>
      <c r="B42" s="29" t="n">
        <v>89</v>
      </c>
      <c r="C42" s="29" t="n">
        <v>-100</v>
      </c>
      <c r="D42" s="29" t="n">
        <v>-682</v>
      </c>
      <c r="E42" s="29" t="n">
        <v>53</v>
      </c>
    </row>
    <row r="43" customFormat="false" ht="15" hidden="false" customHeight="true" outlineLevel="0" collapsed="false">
      <c r="A43" s="30" t="s">
        <v>159</v>
      </c>
      <c r="B43" s="31" t="n">
        <f aca="false">B18+B29+B39+B42</f>
        <v>1757</v>
      </c>
      <c r="C43" s="31" t="n">
        <f aca="false">C18+C29+C39+C42</f>
        <v>-1481</v>
      </c>
      <c r="D43" s="31" t="n">
        <f aca="false">D18+D29+D39+D42</f>
        <v>-695</v>
      </c>
      <c r="E43" s="31" t="n">
        <f aca="false">E18+E29+E39+E42</f>
        <v>742</v>
      </c>
    </row>
    <row r="44" customFormat="false" ht="15" hidden="false" customHeight="true" outlineLevel="0" collapsed="false">
      <c r="A44" s="28" t="s">
        <v>160</v>
      </c>
      <c r="B44" s="29" t="n">
        <v>5235</v>
      </c>
      <c r="C44" s="29" t="n">
        <v>6992</v>
      </c>
      <c r="D44" s="29" t="n">
        <v>5511</v>
      </c>
      <c r="E44" s="29" t="n">
        <v>4816</v>
      </c>
    </row>
    <row r="45" customFormat="false" ht="15" hidden="false" customHeight="true" outlineLevel="0" collapsed="false">
      <c r="A45" s="30" t="s">
        <v>161</v>
      </c>
      <c r="B45" s="31" t="n">
        <f aca="false">B44+B43</f>
        <v>6992</v>
      </c>
      <c r="C45" s="31" t="n">
        <f aca="false">C44+C43</f>
        <v>5511</v>
      </c>
      <c r="D45" s="31" t="n">
        <f aca="false">D44+D43</f>
        <v>4816</v>
      </c>
      <c r="E45" s="31" t="n">
        <f aca="false">E44+E43</f>
        <v>5558</v>
      </c>
    </row>
    <row r="46" customFormat="false" ht="15" hidden="false" customHeight="true" outlineLevel="0" collapsed="false">
      <c r="A46" s="28" t="s">
        <v>162</v>
      </c>
      <c r="B46" s="29" t="n">
        <v>-4</v>
      </c>
      <c r="C46" s="29" t="n">
        <v>0</v>
      </c>
      <c r="D46" s="29" t="n">
        <v>0</v>
      </c>
      <c r="E46" s="29" t="n">
        <v>-2</v>
      </c>
    </row>
    <row r="47" customFormat="false" ht="15" hidden="false" customHeight="true" outlineLevel="0" collapsed="false">
      <c r="A47" s="30" t="s">
        <v>163</v>
      </c>
      <c r="B47" s="31" t="n">
        <f aca="false">B45+B46</f>
        <v>6988</v>
      </c>
      <c r="C47" s="31" t="n">
        <f aca="false">C45+C46</f>
        <v>5511</v>
      </c>
      <c r="D47" s="31" t="n">
        <f aca="false">D45+D46</f>
        <v>4816</v>
      </c>
      <c r="E47" s="31" t="n">
        <f aca="false">E45+E46</f>
        <v>5556</v>
      </c>
    </row>
    <row r="49" customFormat="false" ht="15" hidden="false" customHeight="true" outlineLevel="0" collapsed="false">
      <c r="A49" s="37" t="s">
        <v>164</v>
      </c>
    </row>
    <row r="50" customFormat="false" ht="15" hidden="false" customHeight="true" outlineLevel="0" collapsed="false">
      <c r="A50" s="28" t="s">
        <v>165</v>
      </c>
      <c r="B50" s="29" t="n">
        <v>8700</v>
      </c>
      <c r="C50" s="29" t="n">
        <v>6600</v>
      </c>
      <c r="D50" s="29" t="n">
        <v>10403</v>
      </c>
      <c r="E50" s="29" t="n">
        <v>10666</v>
      </c>
    </row>
    <row r="51" customFormat="false" ht="15" hidden="false" customHeight="true" outlineLevel="0" collapsed="false">
      <c r="A51" s="30" t="s">
        <v>166</v>
      </c>
      <c r="B51" s="31" t="n">
        <f aca="false">B18+B21+B22</f>
        <v>8523</v>
      </c>
      <c r="C51" s="31" t="n">
        <f aca="false">C18+C21+C22</f>
        <v>6546</v>
      </c>
      <c r="D51" s="31" t="n">
        <f aca="false">D18+D21+D22</f>
        <v>9738</v>
      </c>
      <c r="E51" s="31" t="n">
        <f aca="false">E18+E21+E22</f>
        <v>10712</v>
      </c>
    </row>
    <row r="52" customFormat="false" ht="15" hidden="false" customHeight="true" outlineLevel="0" collapsed="false">
      <c r="A52" s="32" t="s">
        <v>167</v>
      </c>
      <c r="B52" s="38" t="n">
        <f aca="false">IFERROR(B50/Income_Statement!B4,"")</f>
        <v>0.0998989527833915</v>
      </c>
      <c r="C52" s="38" t="n">
        <f aca="false">IFERROR(C50/Income_Statement!C4,"")</f>
        <v>0.0698974836905871</v>
      </c>
      <c r="D52" s="38" t="n">
        <f aca="false">IFERROR(D50/Income_Statement!D4,"")</f>
        <v>0.11186262070152</v>
      </c>
      <c r="E52" s="38" t="n">
        <f aca="false">IFERROR(E50/Income_Statement!E4,"")</f>
        <v>0.11675460297305</v>
      </c>
    </row>
    <row r="54" customFormat="false" ht="30" hidden="false" customHeight="true" outlineLevel="0" collapsed="false">
      <c r="A54" s="36" t="s">
        <v>168</v>
      </c>
    </row>
    <row r="55" customFormat="false" ht="30" hidden="false" customHeight="true" outlineLevel="0" collapsed="false">
      <c r="A55" s="36" t="s">
        <v>169</v>
      </c>
    </row>
    <row r="56" customFormat="false" ht="30" hidden="false" customHeight="true" outlineLevel="0" collapsed="false">
      <c r="A56" s="36" t="s">
        <v>170</v>
      </c>
    </row>
    <row r="57" customFormat="false" ht="30" hidden="false" customHeight="true" outlineLevel="0" collapsed="false">
      <c r="A57" s="36" t="s">
        <v>171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8" width="40"/>
    <col collapsed="false" customWidth="true" hidden="false" outlineLevel="0" max="2" min="2" style="8" width="14"/>
    <col collapsed="false" customWidth="true" hidden="false" outlineLevel="0" max="3" min="3" style="8" width="95"/>
  </cols>
  <sheetData>
    <row r="1" customFormat="false" ht="15" hidden="false" customHeight="true" outlineLevel="0" collapsed="false">
      <c r="A1" s="26" t="s">
        <v>172</v>
      </c>
    </row>
    <row r="3" customFormat="false" ht="15" hidden="false" customHeight="true" outlineLevel="0" collapsed="false">
      <c r="A3" s="27" t="s">
        <v>173</v>
      </c>
      <c r="B3" s="27" t="s">
        <v>174</v>
      </c>
      <c r="C3" s="27" t="s">
        <v>175</v>
      </c>
    </row>
    <row r="4" customFormat="false" ht="60" hidden="false" customHeight="true" outlineLevel="0" collapsed="false">
      <c r="A4" s="28" t="s">
        <v>176</v>
      </c>
      <c r="B4" s="39" t="n">
        <v>0.03</v>
      </c>
      <c r="C4" s="40" t="s">
        <v>177</v>
      </c>
    </row>
    <row r="5" customFormat="false" ht="60" hidden="false" customHeight="true" outlineLevel="0" collapsed="false">
      <c r="A5" s="28" t="s">
        <v>178</v>
      </c>
      <c r="B5" s="39" t="n">
        <v>0</v>
      </c>
      <c r="C5" s="40" t="s">
        <v>179</v>
      </c>
    </row>
    <row r="6" customFormat="false" ht="60" hidden="false" customHeight="true" outlineLevel="0" collapsed="false">
      <c r="A6" s="28" t="s">
        <v>180</v>
      </c>
      <c r="B6" s="39" t="n">
        <v>0</v>
      </c>
      <c r="C6" s="40" t="s">
        <v>181</v>
      </c>
    </row>
    <row r="7" customFormat="false" ht="60" hidden="false" customHeight="true" outlineLevel="0" collapsed="false">
      <c r="A7" s="28" t="s">
        <v>182</v>
      </c>
      <c r="B7" s="34" t="n">
        <f aca="false">B4+B5+B6</f>
        <v>0.03</v>
      </c>
      <c r="C7" s="40" t="s">
        <v>183</v>
      </c>
    </row>
    <row r="8" customFormat="false" ht="60" hidden="false" customHeight="true" outlineLevel="0" collapsed="false">
      <c r="A8" s="28" t="s">
        <v>184</v>
      </c>
      <c r="B8" s="39" t="n">
        <v>0.165</v>
      </c>
      <c r="C8" s="40" t="s">
        <v>185</v>
      </c>
    </row>
    <row r="9" customFormat="false" ht="60" hidden="false" customHeight="true" outlineLevel="0" collapsed="false">
      <c r="A9" s="28" t="s">
        <v>186</v>
      </c>
      <c r="B9" s="39" t="n">
        <v>0.05</v>
      </c>
      <c r="C9" s="40" t="s">
        <v>187</v>
      </c>
    </row>
    <row r="10" customFormat="false" ht="60" hidden="false" customHeight="true" outlineLevel="0" collapsed="false">
      <c r="A10" s="28" t="s">
        <v>188</v>
      </c>
      <c r="B10" s="39" t="n">
        <v>0.24</v>
      </c>
      <c r="C10" s="40" t="s">
        <v>189</v>
      </c>
    </row>
    <row r="11" customFormat="false" ht="60" hidden="false" customHeight="true" outlineLevel="0" collapsed="false">
      <c r="A11" s="28" t="s">
        <v>190</v>
      </c>
      <c r="B11" s="39" t="n">
        <v>0.115</v>
      </c>
      <c r="C11" s="40" t="s">
        <v>191</v>
      </c>
    </row>
    <row r="12" customFormat="false" ht="60" hidden="false" customHeight="true" outlineLevel="0" collapsed="false">
      <c r="A12" s="28" t="s">
        <v>192</v>
      </c>
      <c r="B12" s="41" t="n">
        <v>2554.7</v>
      </c>
      <c r="C12" s="40" t="s">
        <v>193</v>
      </c>
    </row>
    <row r="14" customFormat="false" ht="27.75" hidden="false" customHeight="true" outlineLevel="0" collapsed="false">
      <c r="A14" s="36" t="s">
        <v>194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8" width="48"/>
    <col collapsed="false" customWidth="true" hidden="false" outlineLevel="0" max="2" min="2" style="8" width="14"/>
    <col collapsed="false" customWidth="true" hidden="false" outlineLevel="0" max="4" min="3" style="8" width="16"/>
  </cols>
  <sheetData>
    <row r="1" customFormat="false" ht="15" hidden="false" customHeight="true" outlineLevel="0" collapsed="false">
      <c r="A1" s="26" t="s">
        <v>195</v>
      </c>
    </row>
    <row r="3" customFormat="false" ht="15" hidden="false" customHeight="true" outlineLevel="0" collapsed="false">
      <c r="A3" s="27" t="s">
        <v>196</v>
      </c>
      <c r="B3" s="27" t="s">
        <v>197</v>
      </c>
      <c r="C3" s="27" t="s">
        <v>198</v>
      </c>
      <c r="D3" s="27" t="s">
        <v>199</v>
      </c>
    </row>
    <row r="4" customFormat="false" ht="15" hidden="false" customHeight="true" outlineLevel="0" collapsed="false">
      <c r="A4" s="28" t="s">
        <v>89</v>
      </c>
      <c r="B4" s="42" t="n">
        <f aca="false">Income_Statement!E4</f>
        <v>91354</v>
      </c>
      <c r="C4" s="43" t="n">
        <f aca="false">B4*(1+Assumptions_FY2025!B7)</f>
        <v>94094.62</v>
      </c>
      <c r="D4" s="34" t="n">
        <f aca="false">IFERROR(C4/B4-1,"")</f>
        <v>0.03</v>
      </c>
    </row>
    <row r="5" customFormat="false" ht="15" hidden="false" customHeight="true" outlineLevel="0" collapsed="false">
      <c r="A5" s="28" t="s">
        <v>200</v>
      </c>
      <c r="B5" s="42" t="n">
        <f aca="false">Income_Statement!E10</f>
        <v>15704</v>
      </c>
      <c r="C5" s="43" t="n">
        <f aca="false">C4*Assumptions_FY2025!B8</f>
        <v>15525.6123</v>
      </c>
      <c r="D5" s="34" t="n">
        <f aca="false">IFERROR(C5/B5-1,"")</f>
        <v>-0.0113593797758532</v>
      </c>
    </row>
    <row r="6" customFormat="false" ht="15" hidden="false" customHeight="true" outlineLevel="0" collapsed="false">
      <c r="A6" s="28" t="s">
        <v>111</v>
      </c>
      <c r="B6" s="34" t="n">
        <f aca="false">IFERROR(B5/B4,"")</f>
        <v>0.171902708146332</v>
      </c>
      <c r="C6" s="34" t="n">
        <f aca="false">IFERROR(C5/C4,"")</f>
        <v>0.165</v>
      </c>
    </row>
    <row r="7" customFormat="false" ht="15" hidden="false" customHeight="true" outlineLevel="0" collapsed="false">
      <c r="A7" s="28" t="s">
        <v>201</v>
      </c>
      <c r="B7" s="42" t="n">
        <f aca="false">-Income_Statement!E19</f>
        <v>1485</v>
      </c>
      <c r="C7" s="43" t="n">
        <f aca="false">B7*(1+Assumptions_FY2025!B9)</f>
        <v>1559.25</v>
      </c>
      <c r="D7" s="34" t="n">
        <f aca="false">IFERROR(C7/B7-1,"")</f>
        <v>0.05</v>
      </c>
    </row>
    <row r="8" customFormat="false" ht="15" hidden="false" customHeight="true" outlineLevel="0" collapsed="false">
      <c r="A8" s="28" t="s">
        <v>202</v>
      </c>
      <c r="B8" s="43" t="n">
        <f aca="false">B5-B7</f>
        <v>14219</v>
      </c>
      <c r="C8" s="43" t="n">
        <f aca="false">C5-C7</f>
        <v>13966.3623</v>
      </c>
      <c r="D8" s="34" t="n">
        <f aca="false">IFERROR(C8/B8-1,"")</f>
        <v>-0.0177676137562416</v>
      </c>
    </row>
    <row r="9" customFormat="false" ht="15" hidden="false" customHeight="true" outlineLevel="0" collapsed="false">
      <c r="A9" s="28" t="s">
        <v>188</v>
      </c>
      <c r="B9" s="44" t="n">
        <f aca="false">-Income_Statement!E22/Income_Statement!E20</f>
        <v>0.250321021225168</v>
      </c>
      <c r="C9" s="34" t="n">
        <f aca="false">Assumptions_FY2025!B10</f>
        <v>0.24</v>
      </c>
    </row>
    <row r="10" customFormat="false" ht="15" hidden="false" customHeight="true" outlineLevel="0" collapsed="false">
      <c r="A10" s="28" t="s">
        <v>203</v>
      </c>
      <c r="B10" s="43" t="n">
        <f aca="false">B8*B9</f>
        <v>3559.31460080067</v>
      </c>
      <c r="C10" s="43" t="n">
        <f aca="false">C8*C9</f>
        <v>3351.926952</v>
      </c>
      <c r="D10" s="34" t="n">
        <f aca="false">IFERROR(C10/B10-1,"")</f>
        <v>-0.0582661753906253</v>
      </c>
    </row>
    <row r="11" customFormat="false" ht="15" hidden="false" customHeight="true" outlineLevel="0" collapsed="false">
      <c r="A11" s="28" t="s">
        <v>204</v>
      </c>
      <c r="B11" s="42" t="n">
        <f aca="false">Income_Statement!E25</f>
        <v>10884</v>
      </c>
      <c r="C11" s="43" t="n">
        <f aca="false">C8-C10</f>
        <v>10614.435348</v>
      </c>
      <c r="D11" s="34" t="n">
        <f aca="false">IFERROR(C11/B11-1,"")</f>
        <v>-0.0247670573318632</v>
      </c>
    </row>
    <row r="12" customFormat="false" ht="15" hidden="false" customHeight="true" outlineLevel="0" collapsed="false">
      <c r="A12" s="28" t="s">
        <v>114</v>
      </c>
      <c r="B12" s="34" t="n">
        <f aca="false">IFERROR(B11/B4,"")</f>
        <v>0.119140924316396</v>
      </c>
      <c r="C12" s="34" t="n">
        <f aca="false">IFERROR(C11/C4,"")</f>
        <v>0.11280597496435</v>
      </c>
    </row>
    <row r="13" customFormat="false" ht="15" hidden="false" customHeight="true" outlineLevel="0" collapsed="false">
      <c r="A13" s="28" t="s">
        <v>205</v>
      </c>
      <c r="B13" s="45" t="n">
        <f aca="false">Income_Statement!E33</f>
        <v>4.19</v>
      </c>
      <c r="C13" s="46" t="n">
        <f aca="false">IFERROR(C11/Assumptions_FY2025!B12,"")</f>
        <v>4.15486567816182</v>
      </c>
    </row>
    <row r="15" customFormat="false" ht="15" hidden="false" customHeight="true" outlineLevel="0" collapsed="false">
      <c r="A15" s="28" t="s">
        <v>206</v>
      </c>
      <c r="B15" s="42" t="n">
        <f aca="false">Cash_Flow_Statement!E50</f>
        <v>10666</v>
      </c>
      <c r="C15" s="43" t="n">
        <f aca="false">C4*Assumptions_FY2025!B11</f>
        <v>10820.8813</v>
      </c>
      <c r="D15" s="34" t="n">
        <f aca="false">IFERROR(C15/B15-1,"")</f>
        <v>0.0145210294393399</v>
      </c>
    </row>
    <row r="16" customFormat="false" ht="15" hidden="false" customHeight="true" outlineLevel="0" collapsed="false">
      <c r="A16" s="28" t="s">
        <v>207</v>
      </c>
      <c r="B16" s="34" t="n">
        <f aca="false">IFERROR(B15/B4,"")</f>
        <v>0.11675460297305</v>
      </c>
      <c r="C16" s="34" t="n">
        <f aca="false">IFERROR(C15/C4,"")</f>
        <v>0.115</v>
      </c>
    </row>
    <row r="18" customFormat="false" ht="27.75" hidden="false" customHeight="true" outlineLevel="0" collapsed="false">
      <c r="A18" s="36" t="s">
        <v>208</v>
      </c>
    </row>
    <row r="19" customFormat="false" ht="27.75" hidden="false" customHeight="true" outlineLevel="0" collapsed="false">
      <c r="A19" s="36" t="s">
        <v>209</v>
      </c>
    </row>
    <row r="20" customFormat="false" ht="27.75" hidden="false" customHeight="true" outlineLevel="0" collapsed="false">
      <c r="A20" s="36" t="s">
        <v>210</v>
      </c>
    </row>
    <row r="21" customFormat="false" ht="27.75" hidden="false" customHeight="true" outlineLevel="0" collapsed="false">
      <c r="A21" s="36" t="s">
        <v>211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2026-09-26T17:47:09Z</dcterms:created>
  <dc:creator>openpyxl</dc:creator>
  <dc:description/>
  <dc:language>en-US</dc:language>
  <cp:lastModifiedBy>(Student) Dang, Thanh Vinh</cp:lastModifiedBy>
  <dcterms:modified xsi:type="dcterms:W3CDTF">2026-09-26T19:16:25Z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