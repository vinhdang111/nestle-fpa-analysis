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ADME" sheetId="2" state="visible" r:id="rId4"/>
    <sheet name="1. Segment_Data" sheetId="3" state="visible" r:id="rId5"/>
    <sheet name="1. Category_Data" sheetId="4" state="visible" r:id="rId6"/>
    <sheet name="1. Income_Statement" sheetId="5" state="visible" r:id="rId7"/>
    <sheet name="1. Cash_Flow_Statement" sheetId="6" state="visible" r:id="rId8"/>
    <sheet name="2. Assumptions_FY2025" sheetId="7" state="visible" r:id="rId9"/>
    <sheet name="2. Budget_FY2025_PL_CF" sheetId="8" state="visible" r:id="rId10"/>
    <sheet name="3. Variance_Analysis" sheetId="9" state="visible" r:id="rId11"/>
    <sheet name="4. Assumptions_FY2026" sheetId="10" state="visible" r:id="rId12"/>
    <sheet name="4. Reforecast_FY2026" sheetId="11" state="visible" r:id="rId13"/>
    <sheet name="4. Sensitivity_FY2026" sheetId="12" state="visible" r:id="rId14"/>
  </sheets>
  <definedNames>
    <definedName function="false" hidden="false" localSheetId="0" name="_xlnm.Print_Area" vbProcedure="false">Cover!$A$1:$J$41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<sst xmlns="http://schemas.openxmlformats.org/spreadsheetml/2006/main" count="825" uniqueCount="519">
  <si>
    <t xml:space="preserve">Nestlé Group — FP&amp;A Case Study</t>
  </si>
  <si>
    <t xml:space="preserve">FY2021–FY2024 Financial Foundation · FY2025 Budget (Adverse / Base / Favorable) · Budget vs Actual Variance · FY2026 Reforecast &amp; Sensitivity</t>
  </si>
  <si>
    <t xml:space="preserve">Independent analysis based exclusively on Nestlé's publicly disclosed financial reports · CHF million unless stated</t>
  </si>
  <si>
    <t xml:space="preserve">Prepared by Thanh Vinh Dang</t>
  </si>
  <si>
    <t xml:space="preserve">Data as of Nestlé Half-Year Results 2026 (23 July 2026)</t>
  </si>
  <si>
    <t xml:space="preserve">FY2025 AT A GLANCE — ACTUAL VS BUDGET</t>
  </si>
  <si>
    <t xml:space="preserve">SALES</t>
  </si>
  <si>
    <t xml:space="preserve">ORGANIC GROWTH</t>
  </si>
  <si>
    <t xml:space="preserve">FX IMPACT ON SALES</t>
  </si>
  <si>
    <t xml:space="preserve">UTOP MARGIN</t>
  </si>
  <si>
    <t xml:space="preserve">NET PROFIT</t>
  </si>
  <si>
    <t xml:space="preserve">BASIC EPS (CHF)</t>
  </si>
  <si>
    <t xml:space="preserve">OPERATING CASH FLOW</t>
  </si>
  <si>
    <t xml:space="preserve">FREE CASH FLOW (REPORTED)</t>
  </si>
  <si>
    <t xml:space="preserve">KEY MESSAGE</t>
  </si>
  <si>
    <t xml:space="preserve">FY2025 was a currency story, not an execution miss. Organic growth beat the Budget (3.5% vs 3.0%), but with the opposite mix to plan — pricing (+2.8%) carried growth while volume (RIG +0.8%) disappointed. A -5.7% FX headwind against a flat Budget assumption turned a planned +3.0% reported sales growth into a -2.0% decline. UTOP margin of 16.1% still landed within Nestlé's guidance of "at or above 16.0%". The FY2026 reforecast uses Nestlé's latest guidance where it exists (FX about -3%, H2 margin similar to H1) and judgement elsewhere: 3.5% organic growth, a 16.5% UTOP margin and about CHF 10.7bn of free cash flow, but net profit down about 11% after a CHF 1.3bn write-down. Each 10 bps of COGS moves net profit as much as 0.8 pp of FX.</t>
  </si>
  <si>
    <t xml:space="preserve">CONTENTS</t>
  </si>
  <si>
    <t xml:space="preserve">Step</t>
  </si>
  <si>
    <t xml:space="preserve">Sheet</t>
  </si>
  <si>
    <t xml:space="preserve">What it contains</t>
  </si>
  <si>
    <t xml:space="preserve">—</t>
  </si>
  <si>
    <t xml:space="preserve">README</t>
  </si>
  <si>
    <t xml:space="preserve">Workbook guide, data sources, conventions and key caveats</t>
  </si>
  <si>
    <t xml:space="preserve">1</t>
  </si>
  <si>
    <t xml:space="preserve">1. Segment_Data</t>
  </si>
  <si>
    <t xml:space="preserve">Sales &amp; UTOP by reporting segment, FY2021–FY2024, with RIG/Pricing bridge</t>
  </si>
  <si>
    <t xml:space="preserve">1. Category_Data</t>
  </si>
  <si>
    <t xml:space="preserve">Sales &amp; UTOP by product category, FY2021–FY2024</t>
  </si>
  <si>
    <t xml:space="preserve">1. Income_Statement</t>
  </si>
  <si>
    <t xml:space="preserve">Full consolidated Income Statement, FY2021–FY2024</t>
  </si>
  <si>
    <t xml:space="preserve">1. Cash_Flow_Statement</t>
  </si>
  <si>
    <t xml:space="preserve">Full consolidated Statement of Cash Flows, FY2021–FY2024</t>
  </si>
  <si>
    <t xml:space="preserve">2</t>
  </si>
  <si>
    <t xml:space="preserve">2. Assumptions_FY2025</t>
  </si>
  <si>
    <t xml:space="preserve">~40 FY2025 drivers under Adverse / Base / Favorable scenarios, each sourced or explained</t>
  </si>
  <si>
    <t xml:space="preserve">2. Budget_FY2025_PL_CF</t>
  </si>
  <si>
    <t xml:space="preserve">Full-detail FY2025 Budget (P&amp;L + Cash Flow), three scenarios vs FY2024 Actual</t>
  </si>
  <si>
    <t xml:space="preserve">3</t>
  </si>
  <si>
    <t xml:space="preserve">3. Variance_Analysis</t>
  </si>
  <si>
    <t xml:space="preserve">Actual vs Base: RIG/Pricing/FX bridge, P&amp;L &amp; CF variance, scenario range, driver backtest</t>
  </si>
  <si>
    <t xml:space="preserve">4</t>
  </si>
  <si>
    <t xml:space="preserve">4. Assumptions_FY2026</t>
  </si>
  <si>
    <t xml:space="preserve">FY2026 drivers vs FY2025 Budget and Actual: Nestlé guidance where given, judgement elsewhere</t>
  </si>
  <si>
    <t xml:space="preserve">4. Reforecast_FY2026</t>
  </si>
  <si>
    <t xml:space="preserve">FY2026 Reforecast vs FY2025 Actual (P&amp;L + Cash Flow), checked against FY2026 guidance</t>
  </si>
  <si>
    <t xml:space="preserve">4. Sensitivity_FY2026</t>
  </si>
  <si>
    <t xml:space="preserve">Sensitivity of FY2026 net profit, EPS and FCF to FX and COGS (one-way and two-way)</t>
  </si>
  <si>
    <t xml:space="preserve">Cell conventions:</t>
  </si>
  <si>
    <t xml:space="preserve">Blue = sourced input</t>
  </si>
  <si>
    <t xml:space="preserve">Black = formula</t>
  </si>
  <si>
    <t xml:space="preserve">Green = link to another sheet</t>
  </si>
  <si>
    <t xml:space="preserve">Yellow = budget assumption</t>
  </si>
  <si>
    <t xml:space="preserve">Disclaimer: this is an independent portfolio analysis. It is not prepared by, affiliated with, or endorsed by Nestlé S.A. All actual figures are taken from Nestlé's published Full-Year Results press releases and Financial Statements; budget figures are the author's own assumptions. "Nestlé" is a registered trademark of Société des Produits Nestlé S.A.</t>
  </si>
  <si>
    <t xml:space="preserve">Nestlé FP&amp;A Case Study — Data Foundation</t>
  </si>
  <si>
    <t xml:space="preserve">Purpose</t>
  </si>
  <si>
    <t xml:space="preserve">This workbook covers the Excel steps of an end-to-end FP&amp;A portfolio project: a Data Foundation built on Nestlé's real, publicly disclosed segment and product-category financials (FY2021–FY2024), a driver-based FY2025 Budget built under Adverse / Base / Favorable scenarios, a Variance Analysis of that Budget against Nestlé's actual FY2025 results, and a full-year FY2026 Reforecast with a Sensitivity Analysis on the two drivers that missed most in FY2025 (FX and COGS). Step 5, the Power BI dashboard, lives in the powerbi/ folder of the repository.</t>
  </si>
  <si>
    <t xml:space="preserve">Sheets in this workbook</t>
  </si>
  <si>
    <t xml:space="preserve">• 1. Segment_Data — Sales &amp; Underlying Trading Operating Profit (UTOP) by reporting segment (5 geographic Zones + Nespresso + Nestlé Health Science + Other Businesses), FY2021–FY2024, with the organic growth bridge (RIG / Pricing / Net M&amp;A / FX) for FY2022 and FY2024.</t>
  </si>
  <si>
    <t xml:space="preserve">• 1. Category_Data — Sales &amp; UTOP by product category (7 categories: Powdered &amp; liquid beverages, Water, Milk products &amp; ice cream, Nutrition &amp; Health Science, Prepared dishes &amp; cooking aids, Confectionery, PetCare), FY2021–FY2024.</t>
  </si>
  <si>
    <t xml:space="preserve">• 1. Income_Statement — Full consolidated Income Statement, line by line (Sales, Other revenue, COGS, Distribution expenses, Marketing &amp; admin expenses, R&amp;D costs, Other trading/operating income &amp; expenses, Financial income/expense, Income from associates &amp; JVs, Taxes, NCI), FY2021–FY2024, with every subtotal (UTOP, Trading Operating Profit, Operating Profit, PBT, Profit for the Year, Net Profit) computed by formula from the disclosed line items above it — never hardcoded.</t>
  </si>
  <si>
    <t xml:space="preserve">• 1. Cash_Flow_Statement — Full consolidated Statement of Cash Flows, line by line across Operating, Investing and Financing activities plus the cash reconciliation and a Free Cash Flow memo, FY2021–FY2024, with every subtotal (Cash Generated from Operations, Operating/Investing/Financing Cash Flow) computed by formula.</t>
  </si>
  <si>
    <t xml:space="preserve">• 2. Assumptions_FY2025 — ~40 line-item FY2025 budget drivers covering the full Income Statement and Cash Flow Statement, in three columns: Adverse / Base / Favorable. Base follows Nestlé's own FY2025 guidance where available, or an explicit own-assumption with rationale where not. Adverse and Favorable flex ten key drivers (RIG, FX, COGS %, Marketing &amp; Admin %, other trading items, net financial expense, associates income, tax rate, working capital, capex) using ranges sized from FY2021–FY2024 history; all other drivers are held at Base. Yellow cells are the editable levers.</t>
  </si>
  <si>
    <t xml:space="preserve">• 2. Budget_FY2025_PL_CF — Full-detail FY2025 Budget under the Adverse, Base and Favorable scenarios, side by side with FY2024 Actual, built at the same line-item level as 1. Income_Statement and 1. Cash_Flow_Statement and fully driven by 2. Assumptions_FY2025. Built from guidance disclosed BEFORE FY2025 actual results were known; the Base scenario is the plan that Step 3 (Variance Analysis) measures against.</t>
  </si>
  <si>
    <t xml:space="preserve">• 3. Variance_Analysis — FY2025 Actual versus the Base Budget: a Group Sales Growth Bridge decomposing the variance into RIG (Real Internal Growth), Pricing, Net M&amp;A and FX — the same framework Nestlé uses in its own disclosures — a full line-item Income Statement and Cash Flow variance (CHF m and %), where Actual landed versus the Adverse / Base / Favorable scenarios, a backtest of each flexed driver against its scenario range, and written commentary. All FY2025 Actual figures are hardcoded inputs (blue), sourced from Nestlé's FY2025 Full-Year Results press release and Financial Statements, cited in Data sources below.</t>
  </si>
  <si>
    <t xml:space="preserve">• 4. Assumptions_FY2026 — every FY2026 driver next to the FY2025 Budget (Base), the FY2025 Actual and the H1-2026 actual. Numbers Nestlé has guided or already reported are used as published, with the source (latest: Half-Year Results 2026, 23-Jul-2026 — FX about -3%, organic growth 3%–4% with RIG accelerating, H2 UTOP margin broadly similar to H1, free cash flow above CHF 9bn, the CHF 1.3bn held-for-sale write-down). Every other driver is a judgement informed by the FY2025 variance, labelled [Judgement], never a copy of the FY2025 figure.</t>
  </si>
  <si>
    <t xml:space="preserve">• 4. Reforecast_FY2026 — FY2026 Reforecast vs FY2025 Actual at the same line-item level as the Budget (full P&amp;L and Cash Flow), plus a check against Nestlé's latest guidance.</t>
  </si>
  <si>
    <t xml:space="preserve">• 4. Sensitivity_FY2026 — the two largest FY2025 misses, FX and COGS, stress-tested around the reforecast: one-way tables (sales, UTOP, net profit, EPS, free cash flow), a two-way FX × COGS net profit grid, and rules of thumb — the value of 1 pp of FX and 10 bps of COGS, what the July FX update is worth, and how far COGS can move before the reforecast breaks Nestlé's guidance.</t>
  </si>
  <si>
    <t xml:space="preserve">Data sources</t>
  </si>
  <si>
    <t xml:space="preserve">• Nestlé Full-Year Results 2024 press release (13 Feb 2025) — FY2024 vs FY2023 segment &amp; category data — https://www.nestle.com/sites/default/files/2025-02/full-year-results-press-release-2024-en.pdf</t>
  </si>
  <si>
    <t xml:space="preserve">• Nestlé Full-Year Results 2022 press release (16 Feb 2023) — FY2022 vs FY2021 (restated) segment &amp; category data — https://www.nestle.com/sites/default/files/2023-02/2022-full-year-results-press-release-en.pdf</t>
  </si>
  <si>
    <t xml:space="preserve">• Nestlé Full-Year Results 2021 and 2022 press releases (17 Feb 2022 / 16 Feb 2023) — Group net profit, EPS, net financial expenses, tax rate, operating cash flow, free cash flow, net debt — https://www.nestle.com/media/pressreleases/allpressreleases/full-year-results-2021 and https://www.globenewswire.com/news-release/2023/02/16/2609327/0/en/Nestl%C3%A9-reports-full-year-results-for-2022.html</t>
  </si>
  <si>
    <t xml:space="preserve">• Nestlé Full-Year Results 2025 press release (19 Feb 2026) — FY2025 vs FY2024 Sales, organic growth (RIG/Pricing split), UTOP, Net Profit, EPS, Free Cash Flow, Net Debt, dividend and FY2026 guidance, used in 3. Variance_Analysis — https://www.nestle.com/sites/default/files/2026-02/full-year-results-press-release-2025-en.pdf</t>
  </si>
  <si>
    <t xml:space="preserve">• Nestlé Financial Statements 2025 (19 Feb 2026) — full Consolidated Income Statement and Statement of Cash Flows, FY2025 vs FY2024, used for every FY2025 Actual line item in 3. Variance_Analysis — https://www.nestle.com/sites/default/files/2026-02/financial-statements-2025-en.pdf</t>
  </si>
  <si>
    <t xml:space="preserve">• Nestlé 2025 Full Year Results prepared-remarks transcript (19 Feb 2026) — capex "within the range of 4% to 5% of sales", working capital and the February FX estimate (about -6%), used in 4. Assumptions_FY2026 — https://www.nestle.com/sites/default/files/2026-02/full-year-results-transcript-2025.pdf</t>
  </si>
  <si>
    <t xml:space="preserve">• Nestlé Half-Year Results 2026 press release (23 Jul 2026) — updated FY2026 guidance (FX about -3%, H2 margin broadly similar to H1), H1-2026 RIG / pricing, the CHF 1.3bn write-down, tax, net financial expense and savings, used in 4. Assumptions_FY2026 — https://www.nestle.com/sites/default/files/2026-07/half-year-results-press-release-2026-en.pdf</t>
  </si>
  <si>
    <t xml:space="preserve">• Nestlé Half-Year Report January–June 2026 (23 Jul 2026) — H1-2026 income statement and cash flow line items used as reference in 4. Assumptions_FY2026 — https://www.nestle.com/sites/default/files/2026-07/half-year-report-2026-en.pdf</t>
  </si>
  <si>
    <t xml:space="preserve">Important notes</t>
  </si>
  <si>
    <t xml:space="preserve">• Figures are as originally reported for each fiscal year (5-Zone structure: North America, Europe, AOA, Latin America, Greater China, plus Nespresso, Nestlé Health Science and Other Businesses). From 1 Jan 2025 Nestlé moved to a 3-Zone structure (Americas, Europe, AOA) with Waters &amp; Premium Beverages as a separate global business — that restructuring is NOT reflected here since it postdates FY2024 reporting.</t>
  </si>
  <si>
    <t xml:space="preserve">• That FY2025 Zone restructuring (Americas / Europe / AOA + Nestlé Health Science, Nespresso, and Waters &amp; Premium Beverages as separate global businesses) is now confirmed in Nestlé's FY2025 results. Because 1. Segment_Data and the FY2025 Budget were never built at a zone level that maps cleanly onto the new structure, 3. Variance_Analysis is deliberately confined to the Group level rather than forcing an apples-to-oranges zone comparison.</t>
  </si>
  <si>
    <t xml:space="preserve">• FY2021 and FY2022 RIG/Pricing/Organic growth/Net M&amp;A/FX figures exclude Russia, per Nestlé's own disclosure footnote for those years.</t>
  </si>
  <si>
    <t xml:space="preserve">• "Underlying Trading Operating Profit" (UTOP) is a non-GAAP measure Nestlé itself defines as one of the key metrics used by Group Management to monitor performance: "Underlying trading operating profit is shown on a voluntary basis because it is one of the key metrics used by Group Management to monitor the performance of the Group." (Note 3, "Analyses by segment", Nestlé Financial Statements 2024, 13-Feb-2025). It is broadly comparable to a segment EBIT before restructuring and other one-off items.</t>
  </si>
  <si>
    <t xml:space="preserve">• All monetary figures are in CHF million unless stated otherwise. Blue cells = hardcoded inputs sourced from the press releases above. Black cells = formulas (margins, YoY growth, H2 derivation).</t>
  </si>
  <si>
    <t xml:space="preserve">• 1. Income_Statement / 1. Cash_Flow_Statement sheets: sourced from Nestlé's full Financial Statements documents (not the condensed press releases used for 1. Segment_Data/1. Category_Data) for full line-item detail. FY2022's 'Cash generated from operations' section reflects the "Decrease/(increase) in working capital" and "Variation of other operating assets and liabilities" lines as disclosed that year. The 'Free Cash Flow (derived)' row will not tie exactly to Nestlé's own reported FCF figure — this is flagged on the 1. Cash_Flow_Statement sheet, not hidden.</t>
  </si>
  <si>
    <t xml:space="preserve">Nestlé — Segment Sales &amp; Profitability, FY2021–FY2024 (CHF m unless %)</t>
  </si>
  <si>
    <t xml:space="preserve">Segment</t>
  </si>
  <si>
    <t xml:space="preserve">FY2021 Sales</t>
  </si>
  <si>
    <t xml:space="preserve">FY2022 Sales</t>
  </si>
  <si>
    <t xml:space="preserve">FY2023 Sales</t>
  </si>
  <si>
    <t xml:space="preserve">FY2024 Sales</t>
  </si>
  <si>
    <t xml:space="preserve">FY22 Sales YoY</t>
  </si>
  <si>
    <t xml:space="preserve">FY23 Sales YoY</t>
  </si>
  <si>
    <t xml:space="preserve">FY24 Sales YoY</t>
  </si>
  <si>
    <t xml:space="preserve">FY2021 UTOP</t>
  </si>
  <si>
    <t xml:space="preserve">FY2022 UTOP</t>
  </si>
  <si>
    <t xml:space="preserve">FY2023 UTOP</t>
  </si>
  <si>
    <t xml:space="preserve">FY2024 UTOP</t>
  </si>
  <si>
    <t xml:space="preserve">FY2021 UTOP Margin</t>
  </si>
  <si>
    <t xml:space="preserve">FY2022 UTOP Margin</t>
  </si>
  <si>
    <t xml:space="preserve">FY2023 UTOP Margin</t>
  </si>
  <si>
    <t xml:space="preserve">FY2024 UTOP Margin</t>
  </si>
  <si>
    <t xml:space="preserve">FY22 RIG</t>
  </si>
  <si>
    <t xml:space="preserve">FY22 Pricing</t>
  </si>
  <si>
    <t xml:space="preserve">FY22 Organic Gr.</t>
  </si>
  <si>
    <t xml:space="preserve">FY22 Net M&amp;A</t>
  </si>
  <si>
    <t xml:space="preserve">FY22 FX</t>
  </si>
  <si>
    <t xml:space="preserve">FY24 RIG</t>
  </si>
  <si>
    <t xml:space="preserve">FY24 Pricing</t>
  </si>
  <si>
    <t xml:space="preserve">FY24 Organic Gr.</t>
  </si>
  <si>
    <t xml:space="preserve">FY24 Net M&amp;A</t>
  </si>
  <si>
    <t xml:space="preserve">FY24 FX</t>
  </si>
  <si>
    <t xml:space="preserve">Zone North America</t>
  </si>
  <si>
    <t xml:space="preserve">Zone Europe</t>
  </si>
  <si>
    <t xml:space="preserve">Zone AOA</t>
  </si>
  <si>
    <t xml:space="preserve">Zone Latin America</t>
  </si>
  <si>
    <t xml:space="preserve">Zone Greater China</t>
  </si>
  <si>
    <t xml:space="preserve">Nestlé Health Science</t>
  </si>
  <si>
    <t xml:space="preserve">Nespresso</t>
  </si>
  <si>
    <t xml:space="preserve">Other Businesses</t>
  </si>
  <si>
    <t xml:space="preserve">Total Group</t>
  </si>
  <si>
    <t xml:space="preserve">Source: Nestlé Full-Year Results press releases 2022 and 2024 (see README for links). FY21/FY22 RIG/Pricing/OG/M&amp;A/FX exclude Russia.</t>
  </si>
  <si>
    <t xml:space="preserve">Note: Segment UTOP figures sum to more than the Group Total UTOP shown above — this is expected. Nestlé's Group total nets off unallocated central costs and eliminations that are not broken out by segment in the summary disclosure, so the Total row uses the company's reported Group figure directly rather than a SUM of segments.</t>
  </si>
  <si>
    <t xml:space="preserve">Nestlé — Sales &amp; Profitability by Product Category, FY2021–FY2024 (CHF m unless %)</t>
  </si>
  <si>
    <t xml:space="preserve">Category</t>
  </si>
  <si>
    <t xml:space="preserve">Powdered &amp; liquid beverages</t>
  </si>
  <si>
    <t xml:space="preserve">Water</t>
  </si>
  <si>
    <t xml:space="preserve">Milk products &amp; ice cream</t>
  </si>
  <si>
    <t xml:space="preserve">Nutrition &amp; Health Science</t>
  </si>
  <si>
    <t xml:space="preserve">Prepared dishes &amp; cooking aids</t>
  </si>
  <si>
    <t xml:space="preserve">Confectionery</t>
  </si>
  <si>
    <t xml:space="preserve">PetCare</t>
  </si>
  <si>
    <t xml:space="preserve">Source: Nestlé Full-Year Results press releases 2022 and 2024 (see README for links).</t>
  </si>
  <si>
    <t xml:space="preserve">Note: as with the segment view, category UTOP figures sum to more than Group Total UTOP because unallocated central costs are not broken out by category. The Total row uses Nestlé's reported Group figure directly.</t>
  </si>
  <si>
    <t xml:space="preserve">Nestlé Group — Consolidated Income Statement, FY2021–FY2024 (CHF million unless per-share)</t>
  </si>
  <si>
    <t xml:space="preserve">Line Item</t>
  </si>
  <si>
    <t xml:space="preserve">FY2021</t>
  </si>
  <si>
    <t xml:space="preserve">FY2022</t>
  </si>
  <si>
    <t xml:space="preserve">FY2023</t>
  </si>
  <si>
    <t xml:space="preserve">FY2024</t>
  </si>
  <si>
    <t xml:space="preserve">Sales</t>
  </si>
  <si>
    <t xml:space="preserve">Other revenue</t>
  </si>
  <si>
    <t xml:space="preserve">Cost of goods sold</t>
  </si>
  <si>
    <t xml:space="preserve">Distribution expenses</t>
  </si>
  <si>
    <t xml:space="preserve">Marketing and administration expenses</t>
  </si>
  <si>
    <t xml:space="preserve">Research and development costs</t>
  </si>
  <si>
    <t xml:space="preserve">Underlying Trading Operating Profit (UTOP)*</t>
  </si>
  <si>
    <t xml:space="preserve">Other trading income</t>
  </si>
  <si>
    <t xml:space="preserve">Other trading expenses</t>
  </si>
  <si>
    <t xml:space="preserve">Trading Operating Profit</t>
  </si>
  <si>
    <t xml:space="preserve">Other operating income</t>
  </si>
  <si>
    <t xml:space="preserve">Other operating expenses</t>
  </si>
  <si>
    <t xml:space="preserve">Operating Profit</t>
  </si>
  <si>
    <t xml:space="preserve">Financial income</t>
  </si>
  <si>
    <t xml:space="preserve">Financial expense</t>
  </si>
  <si>
    <t xml:space="preserve">Net Financial Income/(Expense)</t>
  </si>
  <si>
    <t xml:space="preserve">Profit Before Taxes, Associates and Joint Ventures</t>
  </si>
  <si>
    <t xml:space="preserve">Income from associates and joint ventures</t>
  </si>
  <si>
    <t xml:space="preserve">Taxes</t>
  </si>
  <si>
    <t xml:space="preserve">Profit for the Year</t>
  </si>
  <si>
    <t xml:space="preserve">Of which: non-controlling interests</t>
  </si>
  <si>
    <t xml:space="preserve">Net Profit (attributable to shareholders of the parent)</t>
  </si>
  <si>
    <t xml:space="preserve">UTOP Margin</t>
  </si>
  <si>
    <t xml:space="preserve">Trading Operating Profit Margin</t>
  </si>
  <si>
    <t xml:space="preserve">Operating Profit Margin</t>
  </si>
  <si>
    <t xml:space="preserve">Net Profit Margin</t>
  </si>
  <si>
    <t xml:space="preserve">Effective Tax Rate (Taxes ÷ PBT)</t>
  </si>
  <si>
    <t xml:space="preserve">Basic earnings per share (CHF)</t>
  </si>
  <si>
    <t xml:space="preserve">Diluted earnings per share (CHF)</t>
  </si>
  <si>
    <t xml:space="preserve">* "Underlying Trading Operating Profit" (UTOP) is Nestlé's own key profitability KPI. It is not printed as an explicit line in the statutory income statement, but is fully derivable as Sales + Other revenue − Cost of goods sold − Distribution expenses − Marketing &amp; administration expenses − Research &amp; development costs (computed here as a formula, not hardcoded) — it ties exactly to the UTOP figures Nestlé discloses separately (e.g. FY2024: CHF 15,704m, 17.2% margin).</t>
  </si>
  <si>
    <t xml:space="preserve">Sources: Nestlé Financial Statements 2024 (published 13-Feb-2025) for FY2024 and FY2023 — https://www.nestle.com/sites/default/files/2025-02/2024-financial-statements-en.pdf ; Nestlé Financial Statements 2022 (published 16-Feb-2023) for FY2022 and FY2021 — https://www.nestle.com/sites/default/files/2023-02/2022-financial-statements-en.pdf</t>
  </si>
  <si>
    <t xml:space="preserve">Shaded rows are subtotals computed by formula from the line items above them — never hardcoded — so every number here is traceable back to a disclosed line item.</t>
  </si>
  <si>
    <t xml:space="preserve">FY2021's unusually high Net Profit (CHF 16,905m) and 'Income from associates and joint ventures' (CHF 8,651m) reflect the one-off gain on Nestlé's disposal of part of its L'Oréal stake in 2021, not a recurring item.</t>
  </si>
  <si>
    <t xml:space="preserve">Nestlé Group — Consolidated Statement of Cash Flows, FY2021–FY2024 (CHF million)</t>
  </si>
  <si>
    <t xml:space="preserve">OPERATING ACTIVITIES</t>
  </si>
  <si>
    <t xml:space="preserve">Operating Profit (linked from Income_Statement)</t>
  </si>
  <si>
    <t xml:space="preserve">Depreciation and amortization</t>
  </si>
  <si>
    <t xml:space="preserve">Impairment</t>
  </si>
  <si>
    <t xml:space="preserve">Net result on disposal of businesses</t>
  </si>
  <si>
    <t xml:space="preserve">Other non-cash items of income and expense</t>
  </si>
  <si>
    <t xml:space="preserve">Cash Flow Before Changes in Operating Assets and Liabilities</t>
  </si>
  <si>
    <t xml:space="preserve">Decrease/(increase) in working capital</t>
  </si>
  <si>
    <t xml:space="preserve">Variation of other operating assets and liabilities</t>
  </si>
  <si>
    <t xml:space="preserve">Cash Generated from Operations</t>
  </si>
  <si>
    <t xml:space="preserve">Interest paid</t>
  </si>
  <si>
    <t xml:space="preserve">Interest and dividends received</t>
  </si>
  <si>
    <t xml:space="preserve">Taxes paid</t>
  </si>
  <si>
    <t xml:space="preserve">Dividends and interest from associates and joint ventures</t>
  </si>
  <si>
    <t xml:space="preserve">Operating Cash Flow</t>
  </si>
  <si>
    <t xml:space="preserve">INVESTING ACTIVITIES</t>
  </si>
  <si>
    <t xml:space="preserve">Capital expenditure</t>
  </si>
  <si>
    <t xml:space="preserve">Expenditure on intangible assets</t>
  </si>
  <si>
    <t xml:space="preserve">Acquisition of businesses, net of cash acquired</t>
  </si>
  <si>
    <t xml:space="preserve">Disposal of businesses, net of cash disposed of</t>
  </si>
  <si>
    <t xml:space="preserve">Investments (net) in associates and joint ventures</t>
  </si>
  <si>
    <t xml:space="preserve">Divestments in associates and joint ventures</t>
  </si>
  <si>
    <t xml:space="preserve">Inflows/(outflows) from treasury investments</t>
  </si>
  <si>
    <t xml:space="preserve">Other investing activities</t>
  </si>
  <si>
    <t xml:space="preserve">Investing Cash Flow</t>
  </si>
  <si>
    <t xml:space="preserve">FINANCING ACTIVITIES</t>
  </si>
  <si>
    <t xml:space="preserve">Dividend paid to shareholders of the parent</t>
  </si>
  <si>
    <t xml:space="preserve">Dividends paid to non-controlling interests</t>
  </si>
  <si>
    <t xml:space="preserve">Acquisition of non-controlling interests</t>
  </si>
  <si>
    <t xml:space="preserve">Purchase of treasury shares</t>
  </si>
  <si>
    <t xml:space="preserve">Inflows from bonds and other long-term financial debt</t>
  </si>
  <si>
    <t xml:space="preserve">Outflows from bonds, lease liabilities and other long-term financial debt</t>
  </si>
  <si>
    <t xml:space="preserve">Inflows/(outflows) from short-term financial debt</t>
  </si>
  <si>
    <t xml:space="preserve">Financing Cash Flow</t>
  </si>
  <si>
    <t xml:space="preserve">CASH RECONCILIATION</t>
  </si>
  <si>
    <t xml:space="preserve">Currency retranslations</t>
  </si>
  <si>
    <t xml:space="preserve">Increase/(Decrease) in Cash and Cash Equivalents</t>
  </si>
  <si>
    <t xml:space="preserve">Cash and cash equivalents at beginning of year</t>
  </si>
  <si>
    <t xml:space="preserve">Cash and Cash Equivalents at End of Year</t>
  </si>
  <si>
    <t xml:space="preserve">Cash and cash equivalents classified as held for sale</t>
  </si>
  <si>
    <t xml:space="preserve">Cash and Cash Equivalents per Balance Sheet</t>
  </si>
  <si>
    <t xml:space="preserve">MEMO: FREE CASH FLOW</t>
  </si>
  <si>
    <t xml:space="preserve">Free Cash Flow (as reported by Nestlé)</t>
  </si>
  <si>
    <t xml:space="preserve">Free Cash Flow (derived: Operating CF − Capex − Intangible capex)</t>
  </si>
  <si>
    <t xml:space="preserve">Free Cash Flow Margin (reported FCF ÷ Sales)</t>
  </si>
  <si>
    <t xml:space="preserve">Sources: Nestlé Financial Statements 2024 (13-Feb-2025) for FY2024/FY2023, and Nestlé Financial Statements 2022 (16-Feb-2023) for FY2022/FY2021 — same two documents cited on the Income_Statement sheet.</t>
  </si>
  <si>
    <t xml:space="preserve">"Free Cash Flow (as reported by Nestlé)" is the company's own headline FCF figure quoted in its results press releases. "Free Cash Flow (derived)" is a from-first-principles calculation (Operating Cash Flow − Capex − Intangible capex) using only the line items above — the two do not tie out exactly (Nestlé's own FCF definition includes some additional adjustments not separately disclosed), which is normal and is flagged here rather than silently forced to match.</t>
  </si>
  <si>
    <t xml:space="preserve">Shaded rows are subtotals computed by formula, never hardcoded, so every subtotal is traceable to a disclosed line item.</t>
  </si>
  <si>
    <t xml:space="preserve">"Divestments in associates and joint ventures" (CHF 9,294m in FY2021 only) reflects the one-off partial disposal of Nestlé's L'Oréal stake — see the matching note on the Income_Statement sheet.</t>
  </si>
  <si>
    <t xml:space="preserve">Nestlé — FY2025 Budget Assumptions: Adverse / Base / Favorable scenarios (full line-item detail, P&amp;L + Cash Flow)</t>
  </si>
  <si>
    <t xml:space="preserve">Driver</t>
  </si>
  <si>
    <t xml:space="preserve">Adverse</t>
  </si>
  <si>
    <t xml:space="preserve">Base</t>
  </si>
  <si>
    <t xml:space="preserve">Favorable</t>
  </si>
  <si>
    <t xml:space="preserve">Source / Rationale</t>
  </si>
  <si>
    <t xml:space="preserve">A. INCOME STATEMENT DRIVERS</t>
  </si>
  <si>
    <t xml:space="preserve">Real Internal Growth (RIG) — volume/mix</t>
  </si>
  <si>
    <t xml:space="preserve">Own split of the 3.0% organic growth assumption, using only information available on 13-Feb-2025. RIG improved from 0.1% in H1-2024 to 1.4% in H2-2024 (Full-Year Results 2024 press release), and FY2025 guidance calls for organic growth "strengthening through the year" backed by advertising &amp; marketing spend rising toward 9% of sales. 1.5% assumes RIG holds just above its H2-2024 exit rate. Scenarios: Adverse 0.5% / Favorable 2.5% (±100 bps). Volume is the swing factor; Pricing is held at Base in all three scenarios, so Organic Growth ranges 2.0%–4.0%, spanning FY2024's actual 2.2% and a stronger recovery.</t>
  </si>
  <si>
    <t xml:space="preserve">Pricing</t>
  </si>
  <si>
    <t xml:space="preserve">Own split: held at the FY2024 full-year level (1.5%). Upward pressure from coffee and cocoa cost inflation is balanced by guidance that Nestlé is "selectively investing in price as we focus on restoring competitiveness", with commodity increases offset by "accelerated delivery of cost efficiencies" (Full-Year Results 2024 press release). H2-2024 pricing had slowed to ~0.9% (organic 2.3% − RIG 1.4%).</t>
  </si>
  <si>
    <t xml:space="preserve">→ Organic Sales Growth (RIG + Pricing)</t>
  </si>
  <si>
    <t xml:space="preserve">Formula: RIG + Pricing (not a separate input). Additive, per Nestlé's own definition ("OG combines Real internal growth and Pricing" — Alternative Performance Measures, Feb-2026); the small cross-effect (1.5% × 1.5% ≈ 2 bps) is ignored, consistent with how Nestlé reports its actuals. Nestlé FY2025 guidance (Full-Year Results 2024 press release, 13-Feb-2025): "organic sales growth expected to improve compared to 2024, strengthening through the year" (FY2024 organic growth was 2.2%). The resulting 3.0% is an illustrative point within that guided direction — Nestlé did not disclose a precise FY2025 organic growth number. The RIG/Pricing split was added in Step 3 without changing the 3.0% total, so the Budget figures are unchanged.</t>
  </si>
  <si>
    <t xml:space="preserve">Net M&amp;A Impact</t>
  </si>
  <si>
    <t xml:space="preserve">No acquisition/divestment guidance was disclosed for FY2025; assumed neutral (0.0%), consistent with FY2024's own -0.3% being a minor, non-recurring item.</t>
  </si>
  <si>
    <t xml:space="preserve">Foreign Exchange (FX) Impact</t>
  </si>
  <si>
    <t xml:space="preserve">FY2025 guidance "assumes no significant change in key macroeconomic variables" — interpreted as a flat (0.0%) FX assumption. This is a simplifying assumption, not a forecast of currency markets. Scenarios: Adverse -4.0% / Favorable +2.0%. FX impact on Group sales was -0.9% in FY2022 and -3.7% in FY2024 (1. Segment_Data), with the Swiss franc structurally strong — so the adverse case sits near the worst recent year and the favorable case is smaller.</t>
  </si>
  <si>
    <t xml:space="preserve">→ Implied Reported Sales Growth</t>
  </si>
  <si>
    <t xml:space="preserve">Formula: Organic Sales Growth + Net M&amp;A Impact + FX Impact (not a separate input).</t>
  </si>
  <si>
    <t xml:space="preserve">Other Revenue (% of Sales)</t>
  </si>
  <si>
    <t xml:space="preserve">Own assumption: held flat at the FY2024 ratio (366 / 91,354 = 0.40%) — an immaterial, stable line with no company guidance.</t>
  </si>
  <si>
    <t xml:space="preserve">Cost of Goods Sold (% of Sales)</t>
  </si>
  <si>
    <t xml:space="preserve">Own assumption: modest improvement from FY2024's 53.3% ratio, reflecting continued procurement/input-cost savings under the "Fuel for Growth" cost-savings programme referenced in FY2025 guidance. No specific COGS-ratio guidance was disclosed. Scenarios: 53.9% / 51.9% (±100 bps). COGS ranged from 52.2% (FY2021) to 54.8% (FY2022) of sales; the range covers coffee/cocoa cost inflation versus faster Fuel for Growth savings.</t>
  </si>
  <si>
    <t xml:space="preserve">Distribution Expenses (% of Sales)</t>
  </si>
  <si>
    <t xml:space="preserve">Own assumption: slight improvement from FY2024's 8.28% ratio, reflecting logistics/supply-chain efficiencies under Fuel for Growth. No specific guidance was disclosed for this line.</t>
  </si>
  <si>
    <t xml:space="preserve">Marketing &amp; Administration Expenses (% of Sales)</t>
  </si>
  <si>
    <t xml:space="preserve">Own assumption, the key driver of the guided margin step-down: FY2025 guidance states advertising &amp; marketing spend is planned to increase toward ~9% of sales by end-2025 (from 8.1% in FY2024); this line also includes G&amp;A, which is not separately guided, so the ratio is calibrated (from FY2024's 19.83%) so that the resulting UTOP margin lands at "or above 16.0%", per guidance — see the memo row below. Scenarios: 21.4% / 20.4% (±50 bps). Ranged 17.9%–19.9% of sales over FY2021–FY2024; reflects execution risk around the planned advertising &amp; marketing step-up.</t>
  </si>
  <si>
    <t xml:space="preserve">Research &amp; Development Costs (% of Sales)</t>
  </si>
  <si>
    <t xml:space="preserve">Own assumption: held broadly flat versus FY2024's 1.82% ratio — Nestlé has not signalled a change in R&amp;D investment intensity.</t>
  </si>
  <si>
    <t xml:space="preserve">→ Resulting UTOP Margin (memo, not an input)</t>
  </si>
  <si>
    <t xml:space="preserve">Formula: 1 + Other Revenue% − COGS% − Distribution% − Marketing&amp;Admin% − R&amp;D%. Shown for reference against FY2025 guidance of "UTOP margin expected to be at or above 16.0%" (down from FY2024's 17.2%).</t>
  </si>
  <si>
    <t xml:space="preserve">Other Trading Items, net (% of Sales)</t>
  </si>
  <si>
    <t xml:space="preserve">Own assumption: FY2023–FY2024 two-year average net ratio (-1.65% / -1.17%, avg ≈ -1.41%), reflecting continued but no-longer-escalating restructuring/one-off items as the prior large cost-reduction programme (2021–2022) winds down. Nestlé does not guide this line. Scenarios: -1.9% / -0.9% (±50 bps). Ranged from -3.4% (FY2021) to -1.2% (FY2024) of sales.</t>
  </si>
  <si>
    <t xml:space="preserve">Other Operating Items, net (% of Sales)</t>
  </si>
  <si>
    <t xml:space="preserve">Own assumption: FY2023–FY2024 two-year average net ratio (-0.49% / +0.10%, avg ≈ -0.20%). This line is inherently one-off in nature (disposals, portfolio actions) and is not guided by the company.</t>
  </si>
  <si>
    <t xml:space="preserve">Financial Income Growth (vs FY2024)</t>
  </si>
  <si>
    <t xml:space="preserve">Own assumption: held flat — no treasury-yield or cash-balance guidance was disclosed for FY2025.</t>
  </si>
  <si>
    <t xml:space="preserve">Net Financial Expense Growth (vs FY2024)</t>
  </si>
  <si>
    <t xml:space="preserve">Own assumption (not company guidance): Nestlé's net debt rose to CHF 56.0bn at FY2024 year-end (from CHF 49.6bn a year earlier) and the company does not anticipate a new share buyback programme in 2025 — implying continued elevated net financial expenses. +5.0% growth vs FY2024's CHF 1,485m is assumed as a reasonable continuation of the FY2023→FY2024 trend (+9.2%), applied more conservatively. Financial expense is then derived as the balancing line versus the flat Financial Income assumption above. Scenarios: +15% / -5% (±10 percentage points). Net financial expense grew +19%, +31% and +9% in FY2022–FY2024 as net debt and rates rose.</t>
  </si>
  <si>
    <t xml:space="preserve">Income from Associates &amp; JVs Growth</t>
  </si>
  <si>
    <t xml:space="preserve">Own assumption: continuation of the FY2022–FY2024 recovery trend (CHF 1,040m → 1,120m → 1,249m, i.e. +7.7% then +11.5% YoY), moderated to +8.0% for FY2025. Excludes the FY2021 CHF 8,651m figure, which included the one-off L'Oréal-related gain and is not representative of a run rate. Scenarios: -2% / +18% (±10 percentage points). Grew +7.7% and +11.5% in FY2023–FY2024 (mainly L'Oréal).</t>
  </si>
  <si>
    <t xml:space="preserve">Effective Tax Rate</t>
  </si>
  <si>
    <t xml:space="preserve">Own assumption: close to, but slightly below, FY2024's reported 25.0% rate, with modest normalization assumed as the one-off deferred-tax write-off that inflated the FY2024 rate is not expected to repeat. No FY2025 tax-rate guidance was disclosed. Scenarios: 26.0% / 22.0% (±200 bps). Ranged 18.2%–25.0% over FY2021–FY2024.</t>
  </si>
  <si>
    <t xml:space="preserve">Non-Controlling Interests (% of Profit for the Year)</t>
  </si>
  <si>
    <t xml:space="preserve">Own assumption: held flat at the FY2024 ratio (290 / 11,174 = 2.60%) — this line has been stable (2.5%–3.4%) across FY2021–FY2024.</t>
  </si>
  <si>
    <t xml:space="preserve">Shares Outstanding for EPS (million)</t>
  </si>
  <si>
    <t xml:space="preserve">FY2024 weighted-average basic shares implied by reported EPS (Net Profit CHF 10,884m ÷ EPS CHF 4.19 ≈ 2,598m), reduced by the 43.5 million shares the Board proposed for cancellation in 2025. No new buyback programme is planned for 2025 per guidance, so the share count is held flat aside from that already-announced cancellation.</t>
  </si>
  <si>
    <t xml:space="preserve">B. CASH FLOW DRIVERS</t>
  </si>
  <si>
    <t xml:space="preserve">Depreciation &amp; Amortization (% of Sales)</t>
  </si>
  <si>
    <t xml:space="preserve">Own assumption: held flat at the FY2024 ratio (3,582 / 91,354 = 3.92%) — D&amp;A has been stable at 3.7%–3.9% of sales across FY2021–FY2024, tracking the asset base rather than any single-year driver.</t>
  </si>
  <si>
    <t xml:space="preserve">Impairment (CHF m)</t>
  </si>
  <si>
    <t xml:space="preserve">Own assumption: held flat at the FY2024 level, treated as a normalized run-rate figure. FY2021–FY2022 carried much larger impairments (CHF 2,614m / 2,726m) tied to a specific prior restructuring programme that has since wound down (FY2023: CHF 647m, FY2024: CHF 580m); no new large impairment is assumed.</t>
  </si>
  <si>
    <t xml:space="preserve">Net Disposal Result &amp; Other Non-Cash Items (CHF m)</t>
  </si>
  <si>
    <t xml:space="preserve">Own assumption: neutral placeholder. Both lines have swung between small positive and negative values FY2021–FY2024 with no discernible trend and no company guidance — modelling anything other than zero would be spurious precision.</t>
  </si>
  <si>
    <t xml:space="preserve">Working Capital &amp; Other Operating Movements (CHF m)</t>
  </si>
  <si>
    <t xml:space="preserve">Own assumption: neutral placeholder. Combined working-capital and other-operating-asset/liability movements have ranged from -CHF 3,647m (FY2022) to +CHF 874m (FY2024) with no stable trend; Nestlé gives no forward guidance on working capital, so a zero net assumption is used rather than an unsupported extrapolation. Scenarios: -CHF 1,000m / +CHF 1,000m. Ranged from -CHF 3,647m (FY2022) to +CHF 874m (FY2024).</t>
  </si>
  <si>
    <t xml:space="preserve">Interest Paid (% of Budgeted Financial Expense)</t>
  </si>
  <si>
    <t xml:space="preserve">Own assumption: FY2024's historical cash-vs-accrual ratio (interest paid CHF 1,539m ÷ financial expense CHF 1,843m = 83.5%) applied to the FY2025 Budget's financial expense line.</t>
  </si>
  <si>
    <t xml:space="preserve">Interest Received (% of Budgeted Financial Income)</t>
  </si>
  <si>
    <t xml:space="preserve">Own assumption: FY2024's historical ratio (interest &amp; dividends received CHF 273m ÷ financial income CHF 358m = 76.3%) applied to the FY2025 Budget's financial income line.</t>
  </si>
  <si>
    <t xml:space="preserve">Taxes Paid (% of Budgeted Tax Expense)</t>
  </si>
  <si>
    <t xml:space="preserve">Own assumption: FY2024's historical cash-vs-accrual ratio (taxes paid CHF 2,411m ÷ tax expense CHF 3,314m = 72.7%) applied to the FY2025 Budget's tax expense line, reflecting normal timing differences between accrued and cash tax.</t>
  </si>
  <si>
    <t xml:space="preserve">Associate Dividends Received (% of Budgeted Associate Income)</t>
  </si>
  <si>
    <t xml:space="preserve">Own assumption: FY2024's historical ratio (dividends &amp; interest from associates/JVs CHF 759m ÷ income from associates &amp; JVs CHF 1,249m = 60.8%) applied to the FY2025 Budget's associate income line.</t>
  </si>
  <si>
    <t xml:space="preserve">Capital Expenditure (% of Sales)</t>
  </si>
  <si>
    <t xml:space="preserve">Own assumption: continuation of the rising FY2021–FY2024 capex-intensity trend (5.6% → 5.4% → 6.1% → 6.2% of sales), held at the FY2024 level — Nestlé has not disclosed specific FY2025 capex guidance. Scenarios: 6.7% / 5.7% (±50 bps). Ranged 5.4%–6.2% of sales over FY2021–FY2024.</t>
  </si>
  <si>
    <t xml:space="preserve">Intangible Asset Capex (% of Sales)</t>
  </si>
  <si>
    <t xml:space="preserve">Own assumption: four-year average ratio (0.53% / 0.28% / 0.53% / 0.36%, avg ≈ 0.42%), rounded to 0.40% of sales.</t>
  </si>
  <si>
    <t xml:space="preserve">Acquisitions/Disposals of Businesses, net (CHF m)</t>
  </si>
  <si>
    <t xml:space="preserve">Own assumption: no acquisitions or disposals are budgeted, consistent with no M&amp;A guidance being disclosed for FY2025 (mirrors the Net M&amp;A Impact = 0.0% sales assumption above).</t>
  </si>
  <si>
    <t xml:space="preserve">Associate Investments, net (% of Sales)</t>
  </si>
  <si>
    <t xml:space="preserve">Own assumption: continuation of the recent FY2023–FY2024 level (-CHF 582m / -CHF 532m, both ≈ -0.6% of sales), reflecting ongoing (but not accelerating) investment in associates/JVs such as coffee and pet care ventures.</t>
  </si>
  <si>
    <t xml:space="preserve">Divestments in Associates/JVs (CHF m)</t>
  </si>
  <si>
    <t xml:space="preserve">Own assumption: zero, consistent with FY2022–FY2024 (all nil). FY2021's CHF 9,294m reflected the one-off partial disposal of Nestlé's L'Oréal stake and is not expected to recur.</t>
  </si>
  <si>
    <t xml:space="preserve">Treasury Investments &amp; Other Investing (CHF m)</t>
  </si>
  <si>
    <t xml:space="preserve">Own assumption: neutral placeholder. Both lines are treasury-management driven, have swung between large inflows and outflows FY2021–FY2024 (e.g. treasury investments from -CHF 3,610m to +CHF 5,902m), and are not forecastable from sales or guidance.</t>
  </si>
  <si>
    <t xml:space="preserve">Dividend Paid to Shareholders Growth (vs FY2024)</t>
  </si>
  <si>
    <t xml:space="preserve">Own assumption: Nestlé has a long-standing progressive dividend policy (per-share dividend increased for over two decades); +2.0% is assumed as a modest continuation. No specific FY2025 dividend figure was available at the time of this budget (the dividend for a given year is proposed to shareholders the following February, i.e. after this budget is built).</t>
  </si>
  <si>
    <t xml:space="preserve">Dividends to Non-Controlling Interests (CHF m)</t>
  </si>
  <si>
    <t xml:space="preserve">Own assumption: held flat at the FY2024 level. This line has ranged CHF -174m to -323m across FY2021–FY2024 with no clear trend and no guidance.</t>
  </si>
  <si>
    <t xml:space="preserve">Acquisition of Non-Controlling Interests (CHF m)</t>
  </si>
  <si>
    <t xml:space="preserve">Own assumption: zero. This line reflects opportunistic buy-outs of minority stakes (CHF -601m to -27m across FY2021–FY2024, declining) and is not a plannable, recurring item.</t>
  </si>
  <si>
    <t xml:space="preserve">Purchase of Treasury Shares (CHF m)</t>
  </si>
  <si>
    <t xml:space="preserve">Directly per FY2025 guidance: Nestlé stated it does not anticipate a new share buyback programme in 2025 (consistent with the Shares Outstanding assumption above, which holds the share count flat aside from the already-announced cancellation).</t>
  </si>
  <si>
    <t xml:space="preserve">Bond/Long-Term Debt Inflows (CHF m)</t>
  </si>
  <si>
    <t xml:space="preserve">Own assumption: held flat at the FY2024 level, reflecting a steady-state refinancing/issuance programme — Nestlé has not disclosed a specific FY2025 debt-issuance plan.</t>
  </si>
  <si>
    <t xml:space="preserve">Bond/Lease/Long-Term Debt Outflows (CHF m)</t>
  </si>
  <si>
    <t xml:space="preserve">Own assumption: held flat at the FY2024 level, for the same reason as the inflows line above. Net long-term debt financing therefore continues at roughly the FY2024 pace, consistent with the rising net-debt / rising net-financial-expense narrative used elsewhere in this budget.</t>
  </si>
  <si>
    <t xml:space="preserve">Short-Term Debt Movement (CHF m)</t>
  </si>
  <si>
    <t xml:space="preserve">Own assumption: neutral placeholder. This is the most volatile line in the financing section (CHF -885m to +2,396m across FY2021–FY2024) and is a short-term treasury management decision, not a forecastable business driver.</t>
  </si>
  <si>
    <t xml:space="preserve">Currency Retranslation (CHF m)</t>
  </si>
  <si>
    <t xml:space="preserve">Own assumption: zero, consistent with the flat (0.0%) FX Impact assumption used for Sales above — no currency-market forecast is being made.</t>
  </si>
  <si>
    <t xml:space="preserve">Yellow cells are the editable assumptions. Base is the plan built from Nestlé's FY2025 guidance; Adverse and Favorable flex ten drivers (yellow in those columns) using ranges sized from FY2021–FY2024 history, i.e. only information available on 13-Feb-2025. Every other driver is held at its Base value (grey =Base formulas). Rows marked "→" are memo/formula rows. Change any assumption and 2. Budget_FY2025_PL_CF recalculates.</t>
  </si>
  <si>
    <t xml:space="preserve">Nestlé Group — FY2025 Budget (Adverse / Base / Favorable scenarios) vs FY2024 Actual, full P&amp;L + Cash Flow detail (CHF m unless % or per-share)</t>
  </si>
  <si>
    <t xml:space="preserve">Metric</t>
  </si>
  <si>
    <t xml:space="preserve">FY2024 Actual</t>
  </si>
  <si>
    <t xml:space="preserve">FY2025 Budget — Adverse</t>
  </si>
  <si>
    <t xml:space="preserve">FY2025 Budget — Base</t>
  </si>
  <si>
    <t xml:space="preserve">FY2025 Budget — Favorable</t>
  </si>
  <si>
    <t xml:space="preserve">Base YoY Growth</t>
  </si>
  <si>
    <t xml:space="preserve">INCOME STATEMENT</t>
  </si>
  <si>
    <t xml:space="preserve">Underlying Trading Operating Profit (UTOP)</t>
  </si>
  <si>
    <t xml:space="preserve">Other trading items, net</t>
  </si>
  <si>
    <t xml:space="preserve">Other operating items, net</t>
  </si>
  <si>
    <t xml:space="preserve">Basic EPS (CHF)</t>
  </si>
  <si>
    <t xml:space="preserve">CASH FLOW STATEMENT</t>
  </si>
  <si>
    <t xml:space="preserve">Operating Profit (linked from Income Statement above)</t>
  </si>
  <si>
    <t xml:space="preserve">Net disposal result &amp; other non-cash items</t>
  </si>
  <si>
    <t xml:space="preserve">Working capital &amp; other operating movements</t>
  </si>
  <si>
    <t xml:space="preserve">Acquisition/disposal of businesses, net</t>
  </si>
  <si>
    <t xml:space="preserve">Treasury investments &amp; other investing</t>
  </si>
  <si>
    <t xml:space="preserve">Free Cash Flow Margin</t>
  </si>
  <si>
    <t xml:space="preserve">Column B ("FY2024 Actual") links directly to 1. Income_Statement and 1. Cash_Flow_Statement — it is not retyped. Columns C–E are the FY2025 Budget under three scenarios, each driven by the matching column of 2. Assumptions_FY2025 (Adverse / Base / Favorable). Change any assumption there and this whole sheet recalculates. The Base scenario is the plan that 3. Variance_Analysis compares against FY2025 Actual.</t>
  </si>
  <si>
    <t xml:space="preserve">This budget is built at the same line-item level of detail as Income_Statement and Cash_Flow_Statement (full statutory P&amp;L and Cash Flow). Lines with no forecastable business driver and no company guidance (e.g. treasury investments, short-term debt movements, non-cash disposal items) are explicitly assumed flat/neutral rather than given spurious precision — see each driver's rationale in Assumptions_FY2025.</t>
  </si>
  <si>
    <t xml:space="preserve">"Other trading items, net" and "Other operating items, net" are budgeted on a combined net basis (income − expense), unlike the split presentation in Income_Statement, since FY2025 guidance does not provide separate visibility into these one-off/restructuring components.</t>
  </si>
  <si>
    <t xml:space="preserve">In the Base scenario, budgeted ending cash rises materially (CHF 5,558m -&gt; CHF 9,240m, +66%) versus FY2024 mainly because two large one-off FY2024 cash outflows are assumed not to repeat: the CHF 4,678m share buyback (per guidance, no new buyback programme is planned for 2025) and CHF 832m/1,297m of M&amp;A and treasury-investment outflows (no acquisitions are budgeted for FY2025). This is a mechanical consequence of the guidance-based assumptions above, not a hidden cash-generation improvement in the underlying business — Operating Cash Flow is actually budgeted slightly lower than FY2024 (CHF 15,666m vs CHF 16,675m).</t>
  </si>
  <si>
    <t xml:space="preserve">This is a Budget built from Nestlé's own FY2025 guidance as disclosed on 13-Feb-2025, BEFORE FY2025 actual results were known — it deliberately does not use hindsight. Step 3 of this project (Variance Analysis) will compare this Budget against Nestlé's actual FY2025 results once published.</t>
  </si>
  <si>
    <t xml:space="preserve">Nestlé Group — FY2025 Budget vs FY2025 Actual — Variance Analysis (CHF m unless % or per-share)</t>
  </si>
  <si>
    <t xml:space="preserve">A. GROUP SALES GROWTH BRIDGE — FY2025 BUDGET VS ACTUAL (RIG / PRICING SPLIT)</t>
  </si>
  <si>
    <t xml:space="preserve">Component</t>
  </si>
  <si>
    <t xml:space="preserve">FY2025 Budget (Base)</t>
  </si>
  <si>
    <t xml:space="preserve">FY2025 Actual</t>
  </si>
  <si>
    <t xml:space="preserve">Variance (bps)</t>
  </si>
  <si>
    <t xml:space="preserve">Real Internal Growth (RIG)</t>
  </si>
  <si>
    <t xml:space="preserve">Organic Growth</t>
  </si>
  <si>
    <t xml:space="preserve">Reported Sales Growth</t>
  </si>
  <si>
    <t xml:space="preserve">RIG, Pricing, Organic Growth, Net M&amp;A and FX are Nestlé's own disclosed figures, each rounded to 0.1 percentage point, so they do not sum exactly; FY2025 Actual Reported Sales Growth is calculated directly from the Sales lines (Section B).</t>
  </si>
  <si>
    <t xml:space="preserve">B. FULL INCOME STATEMENT VARIANCE — FY2025 BUDGET VS ACTUAL (CHF m)</t>
  </si>
  <si>
    <t xml:space="preserve">Variance (CHF m)</t>
  </si>
  <si>
    <t xml:space="preserve">Variance (%)</t>
  </si>
  <si>
    <t xml:space="preserve">"Other trading items, net" and "Other operating items, net" are shown net for FY2025 Actual (row 23: other trading income 135 − other trading expenses 1,849; row 25: other operating income 253 − other operating expenses 651), matching the combined-net convention already used for these lines in 2. Budget_FY2025_PL_CF.</t>
  </si>
  <si>
    <t xml:space="preserve">C. FULL CASH FLOW VARIANCE — FY2025 BUDGET VS ACTUAL (CHF m)</t>
  </si>
  <si>
    <t xml:space="preserve">Free Cash Flow Margin (as reported)</t>
  </si>
  <si>
    <t xml:space="preserve">"Acquisition/disposal of businesses, net" (row 67) combines acquisitions (-75) and disposals of businesses (-81). "Treasury investments &amp; other investing" (row 70) combines treasury investments (424), a new FY2025 "long-term investments acquisition" line (-70) not separately budgeted, and other investing items (138) — folded together for comparability with the Budget's combined structure.</t>
  </si>
  <si>
    <t xml:space="preserve">As with FY2021–FY2024 (see 1. Cash_Flow_Statement), Free Cash Flow "as reported" by Nestlé does not tie out exactly to the derived figure (Operating CF − Capex − Intangible capex) — Nestlé's own FCF definition includes further adjustments it does not separately disclose. Both are shown for FY2025 for the same reason.</t>
  </si>
  <si>
    <t xml:space="preserve">D. ACTUAL VS BUDGET SCENARIOS — WHERE DID FY2025 LAND?</t>
  </si>
  <si>
    <t xml:space="preserve">Budget — Adverse</t>
  </si>
  <si>
    <t xml:space="preserve">Budget — Base</t>
  </si>
  <si>
    <t xml:space="preserve">Budget — Favorable</t>
  </si>
  <si>
    <t xml:space="preserve">Position</t>
  </si>
  <si>
    <t xml:space="preserve">Net Profit</t>
  </si>
  <si>
    <t xml:space="preserve">Free Cash Flow (derived)</t>
  </si>
  <si>
    <t xml:space="preserve">Budget scenarios link to 2. Budget_FY2025_PL_CF (columns C–E); FY2025 Actual links to Sections B–C above. Base is the plan the variance in Sections A–C is measured against; Adverse and Favorable were built at the same time (13-Feb-2025) from FY2021–FY2024 history.</t>
  </si>
  <si>
    <t xml:space="preserve">E. ASSUMPTION BACKTEST — FY2025 ACTUAL DRIVERS VS SCENARIO RANGES</t>
  </si>
  <si>
    <t xml:space="preserve">Result</t>
  </si>
  <si>
    <t xml:space="preserve">Drivers that landed outside the Adverse–Favorable range</t>
  </si>
  <si>
    <t xml:space="preserve">Actual driver values are derived from Sections A–C (e.g. COGS % = actual COGS ÷ actual Sales; associates growth = FY2025 actual ÷ FY2024 actual − 1). The scenario ranges were set from FY2021–FY2024 history when the Budget was built and were not changed after FY2025 results were published.</t>
  </si>
  <si>
    <t xml:space="preserve">F. COMMENTARY — WHAT DROVE THE VARIANCE</t>
  </si>
  <si>
    <t xml:space="preserve">Headline: FY2025 was an FX story, not a business-execution miss. The Budget (built 13-Feb-2025, using Nestlé's own guidance and deliberately no hindsight) assumed flat currency and landed on +3.0% reported sales growth; actual reported sales fell -2.0%, a swing of roughly 5 points. Nearly all of that swing is explained by the -5.7% FX headwind in Section A — a currency-translation effect from a weak US dollar and other currencies against the Swiss franc, not a change in underlying demand.</t>
  </si>
  <si>
    <t xml:space="preserve">Underlying business performance beat plan in total, but not in the way the Budget expected: organic growth came in at 3.5% versus 3.0% budgeted, yet the mix was the reverse of the plan. The Budget assumed a balanced 1.5% RIG / 1.5% Pricing split, betting on volume recovery; in reality volume/mix (RIG) disappointed at 0.8% (-70 bps vs Budget) while pricing did the heavy lifting at 2.8% (+130 bps), largely passing through coffee and cocoa cost inflation. In FP&amp;A terms, growth quality was weaker than planned even though the headline beat.</t>
  </si>
  <si>
    <t xml:space="preserve">UTOP margin of 16.1% landed within Nestlé's own guided range ("at or above 16.0%") and essentially in line with the Budget's cost-ratio assumptions, despite the much lower Sales base — the ratio-based cost assumptions in 2. Assumptions_FY2025 scaled down with the FX-driven revenue shortfall as designed.</t>
  </si>
  <si>
    <t xml:space="preserve">Below the top line, the Budget's cost ratios missed in both directions: COGS rose to 54.4% of sales (+151 bps vs Budget, as coffee and cocoa costs climbed) while Marketing &amp; Administration came in at 20.0% (-92 bps), leaving the UTOP margin at 16.1%. Operating Profit then fell further than UTOP because other trading/operating one-offs stepped up (net CHF -2,112m vs CHF -1,505m budgeted), including impairment charges of CHF 923m against CHF 580m assumed; Net Profit was also hit by lower income from associates (CHF 1,143m vs CHF 1,349m budgeted). The one-off and associates lines are exactly those the Budget flagged as not forecastable with precision (see 2. Assumptions_FY2025, rows 17–18, 21, 28).</t>
  </si>
  <si>
    <t xml:space="preserve">The largest cash flow surprise versus Budget is financing activity: Nestlé spent CHF 1,190m acquiring non-controlling interests in FY2025 versus a CHF 0m budget assumption (this line was explicitly flagged in 2. Assumptions_FY2025 as "opportunistic" and "not a plannable, recurring item") and dividends received from associates/JVs jumped to CHF 2,754m from a budgeted CHF 759m-based assumption — both good examples of why cash flow lines with no forecastable driver are budgeted flat/neutral rather than given false precision.</t>
  </si>
  <si>
    <t xml:space="preserve">Against the three Budget scenarios (Section D), FY2025 Actual landed between Adverse and Base on profit — Net Profit of CHF 9.0bn versus CHF 8.35bn Adverse and CHF 10.6bn Base — while Sales came in just below the Adverse case (CHF 89.49bn vs CHF 89.53bn). The driver backtest (Section E) shows the range held only for the totals: 6 of the 10 flexed drivers landed outside their Adverse–Favorable ranges (FX, COGS, other trading items and associates income worse than Adverse; Marketing &amp; Admin and capex better than Favorable), and these misses partly offset each other. Lesson for the next budget cycle: widen the FX and commodity (COGS) ranges, and flex associates income and associate dividends as well.</t>
  </si>
  <si>
    <t xml:space="preserve">Zone-level variance is not shown here: Nestlé restructured its segment reporting from 5 Zones (used for FY2021–FY2024 in 1. Segment_Data) to a new structure (Zone Americas, Zone Europe, Zone AOA, plus Nestlé Health Science, Nespresso and Waters &amp; Premium Beverages as separate global businesses) effective FY2025. Since 1. Segment_Data and the FY2025 Budget were never built at a zone level that maps cleanly onto the new structure, this Variance Analysis is deliberately confined to the Group level, consistent with the caveat already documented in the project README.</t>
  </si>
  <si>
    <t xml:space="preserve">Sources (FY2025 actuals):</t>
  </si>
  <si>
    <t xml:space="preserve">Nestlé Full-Year Results 2025 press release (19-Feb-2026): https://www.nestle.com/sites/default/files/2026-02/full-year-results-press-release-2025-en.pdf — headline Sales, organic growth (RIG/Pricing split), UTOP, Net Profit, EPS, Free Cash Flow, Net Debt, dividend and FY2026 guidance.</t>
  </si>
  <si>
    <t xml:space="preserve">Nestlé Financial Statements 2025 (19-Feb-2026): https://www.nestle.com/sites/default/files/2026-02/financial-statements-2025-en.pdf — full Consolidated Income Statement and Statement of Cash Flows, FY2025 vs FY2024, used for every line item in Sections B and C above.</t>
  </si>
  <si>
    <t xml:space="preserve">Nestlé — FY2026 Reforecast Assumptions (full year, as of 23-Jul-2026)</t>
  </si>
  <si>
    <t xml:space="preserve">Where Nestlé has guided a number (latest: Half-Year Results 2026, 23-Jul-2026), the reforecast uses it. Everything else is a judgement informed by the FY2025 variance and the H1-2026 actuals, never a copy of FY2025.</t>
  </si>
  <si>
    <t xml:space="preserve">FY2026 Reforecast</t>
  </si>
  <si>
    <t xml:space="preserve">H1-2026 Actual</t>
  </si>
  <si>
    <t xml:space="preserve">Source / rationale</t>
  </si>
  <si>
    <t xml:space="preserve">[Judgement] Guidance (23-Jul-2026): RIG "accelerating versus 2025" (0.8%). H1-2026 RIG was 1.5% (Q1 1.2%, Q2 1.8%) and the infant-formula recall drag is fading (-90 bps on OG in Q1, -30 bps in Q2): 1.6% for the year. The FY2025 budget over-estimated volume (1.5% vs 0.8%), so this stays below the Q2 run-rate.</t>
  </si>
  <si>
    <t xml:space="preserve">[Judgement] The FY2025 budget under-estimated pricing by 130 bps. Pricing is now easing as coffee and cocoa costs fall (Q1-2026 2.3%, Q2 1.9%), so 1.9% for the year.</t>
  </si>
  <si>
    <t xml:space="preserve">Formula: 3.5%, inside Nestlé's guidance "OG expected to be in the range of 3% to 4%" (Half-Year Results press release, 23-Jul-2026).</t>
  </si>
  <si>
    <t xml:space="preserve">[Judgement] H1-2026 net M&amp;A was +0.1%; no disposal is expected to close in 2026 (the waters JV is expected to close in H1-2027; the VMS and ice cream processes are still in progress), so +0.1% for the year.</t>
  </si>
  <si>
    <t xml:space="preserve">[Guided] "Based on current spot rates, we expect the impact of foreign exchange movements on sales to be approximately -3%" (Half-Year Results press release, 23-Jul-2026). FX was the largest FY2025 miss (0% budgeted vs -5.7% actual) and is one of the two drivers stress-tested in 4. Sensitivity_FY2026.</t>
  </si>
  <si>
    <t xml:space="preserve">Formula: Organic Sales Growth + Net M&amp;A + FX, applied to FY2025 actual sales.</t>
  </si>
  <si>
    <t xml:space="preserve">[Judgement] Small and stable line (0.44% in FY2025 and in H1-2026), edging up with the H1 trend (+4% in CHF while sales fell 2.5%): 0.45%.</t>
  </si>
  <si>
    <t xml:space="preserve">[Guided] Guidance: UTOP margin to improve versus 2025, with the "second half margin now expected to be broadly similar to the first half" — so the full-year cost ratios follow H1-2026. COGS 53.6% vs 54.4% in FY2025: lower coffee and cocoa costs flow through. The FY2025 budget missed COGS by 151 bps; COGS is tested in 4. Sensitivity_FY2026.</t>
  </si>
  <si>
    <t xml:space="preserve">[Judgement] 8.4% (FY2025 8.2%): Nestlé flags "higher transportation and energy costs arising from the Middle East conflict" in H2, so no easing from the H1-2026 level.</t>
  </si>
  <si>
    <t xml:space="preserve">[Judgement] 20.1%: H1-2026 level (20.2%) less further Fuel for Growth savings in H2 (CHF 1.7bn achieved, CHF 2.0bn targeted for 2026); FY2025 was 20.0% on a smaller cost base.</t>
  </si>
  <si>
    <t xml:space="preserve">[Judgement] 1.8%, unchanged share of sales in FY2024, FY2025 and H1-2026.</t>
  </si>
  <si>
    <t xml:space="preserve">Formula: 16.5%, up almost 50 bps on FY2025 (16.1%) and close to H1-2026 (16.4%) — consistent with both parts of the margin guidance.</t>
  </si>
  <si>
    <t xml:space="preserve">[Judgement] Restructuring for Fuel for Growth (about 16,000 headcount reductions by end-2027) doubled in H1-2026 (CHF 0.8bn vs 0.4bn); in FY2025 the second half was the heavier one. -2.2% (about CHF 2.0bn) vs -1.9% in FY2025. The FY2025 budget under-estimated this line.</t>
  </si>
  <si>
    <t xml:space="preserve">[Guided] Includes the known "non-cash write-down of CHF 1.3 billion" taken in H1-2026 when the businesses being divested were classified as held for sale (Half-Year Results press release). No further write-down assumed: about CHF -1.35bn for the year (-1.5%) vs -0.4% in FY2025.</t>
  </si>
  <si>
    <t xml:space="preserve">Financial Income Growth (vs prior year)</t>
  </si>
  <si>
    <t xml:space="preserve">[Judgement] +2%, in line with H1-2026 (CHF 174m vs 170m).</t>
  </si>
  <si>
    <t xml:space="preserve">Net Financial Expense Growth (vs prior year)</t>
  </si>
  <si>
    <t xml:space="preserve">[Judgement] "Net financial expenses decreased to CHF 688 million from CHF 759 million in H1-25, reflecting a lower level of average net debt" (-9%). -8% for the year, as net debt at end-2025 (CHF 51.4bn) was already lower.</t>
  </si>
  <si>
    <t xml:space="preserve">Income from Associates &amp; JVs Growth (vs prior year)</t>
  </si>
  <si>
    <t xml:space="preserve">[Judgement] H1-2026 fell 28% (CHF 507m vs 704m). FY2025 already came in worse than the budget's Adverse case, so the decline is carried into the full year: -25% (H2-2025 was a lower base).</t>
  </si>
  <si>
    <t xml:space="preserve">[Judgement] H1-2026 reported 28.7% (underlying 22.3%) because of the "limited tax deductibility on the write-down of assets held for sale". Spread over full-year profit the effect is smaller: 26.5% vs 24.6% in FY2025.</t>
  </si>
  <si>
    <t xml:space="preserve">[Judgement] 3.0%: between FY2025 (2.4%) and H1-2026 (3.4%, lifted by lower group profit after the write-down).</t>
  </si>
  <si>
    <t xml:space="preserve">[Judgement] H1-2026 net profit / basic EPS (3,472 / 1.35); no share buyback programme.</t>
  </si>
  <si>
    <t xml:space="preserve">[Judgement] 4.1% of sales (FY2025 4.06%, H1-2026 4.10%); lower capex keeps it from rising.</t>
  </si>
  <si>
    <t xml:space="preserve">[Judgement] H1-2026 CHF 181m; most impairments are booked at year end (H2-2025 CHF 835m). CHF 700m for the year: below FY2025 (923) because the businesses being sold were already written down in H1.</t>
  </si>
  <si>
    <t xml:space="preserve">[Guided] Add-back of the CHF 1.3bn held-for-sale write-down recognised in H1-2026 (reported on this line: CHF 1,250m); other non-cash items assumed nil.</t>
  </si>
  <si>
    <t xml:space="preserve">[Judgement] H1-2026 outflow was CHF 0.7bn smaller than in H1-2025 ("lower working capital outflow") and Nestlé keeps "continuing to reduce working capital": +CHF 400m for the year vs -319m in FY2025.</t>
  </si>
  <si>
    <t xml:space="preserve">Interest Paid (% of Financial Expense)</t>
  </si>
  <si>
    <t xml:space="preserve">[Judgement] 90%: between FY2025 (88.6%) and H1-2026 (95.8%; coupons are front-loaded).</t>
  </si>
  <si>
    <t xml:space="preserve">Interest Received (% of Financial Income)</t>
  </si>
  <si>
    <t xml:space="preserve">[Judgement] 66%: between FY2025 (68.3%) and H1-2026 (64.4%).</t>
  </si>
  <si>
    <t xml:space="preserve">Taxes Paid (% of Tax Expense)</t>
  </si>
  <si>
    <t xml:space="preserve">[Judgement] 80% (FY2025 87%): part of the 2026 tax charge is not deductible and the write-down creates no cash tax.</t>
  </si>
  <si>
    <t xml:space="preserve">Associate Dividends Received (% of Associates Income)</t>
  </si>
  <si>
    <t xml:space="preserve">[Judgement] Associates dividends arrive almost entirely in H1: CHF 744m already received in H1-2026. Allowing a small H2 amount gives about CHF 0.8bn (93% of the lower associates income). FY2025 (241%) included about CHF 2.0bn of exceptional H2 distributions and is not a guide.</t>
  </si>
  <si>
    <t xml:space="preserve">[Guided] "Capex will normalize within the range of 4% to 5% of sales" (FY2025 results call); H1-2026 was 4.1% ("capex discipline is tightened"). 4.3%, allowing for the usual H2 catch-up. The FY2025 budget over-estimated capex (6.2% vs 5.1%).</t>
  </si>
  <si>
    <t xml:space="preserve">[Judgement] 0.4% (FY2025 0.43%, H1-2026 0.37%).</t>
  </si>
  <si>
    <t xml:space="preserve">[Judgement] H1-2026 net inflow (CHF 126m); nothing further expected to close in 2026.</t>
  </si>
  <si>
    <t xml:space="preserve">[Judgement] 0.1%: H1-2026 net inflow of CHF 73m, no further movement assumed.</t>
  </si>
  <si>
    <t xml:space="preserve">[Judgement] Nil.</t>
  </si>
  <si>
    <t xml:space="preserve">[Judgement] H1-2026 net outflow (CHF -782m); H2 treasury placements not forecast.</t>
  </si>
  <si>
    <t xml:space="preserve">Dividend Paid to Shareholders Growth (vs prior year)</t>
  </si>
  <si>
    <t xml:space="preserve">[Guided] Already paid: CHF 7,976m in H1-2026 for the CHF 3.10 dividend per share (vs CHF 7,849m in 2025).</t>
  </si>
  <si>
    <t xml:space="preserve">[Judgement] H1-2026 CHF -92m, roughly half the annual amount (FY2025 -172m): -180m.</t>
  </si>
  <si>
    <t xml:space="preserve">[Judgement] H1-2026 actual; FY2025's CHF 1,190m was a one-off.</t>
  </si>
  <si>
    <t xml:space="preserve">[Judgement] No buyback programme; small purchases for share plans (H1-2026 CHF -49m, FY2025 -213m).</t>
  </si>
  <si>
    <t xml:space="preserve">[Judgement] H1-2026 CHF 1,581m plus modest H2 issuance; Nestlé wants leverage back toward the middle of its 2–3x range.</t>
  </si>
  <si>
    <t xml:space="preserve">[Judgement] H1-2026 CHF -4,125m of maturities plus lease payments in H2.</t>
  </si>
  <si>
    <t xml:space="preserve">[Judgement] H1-2026 borrowing (CHF 6.9bn) funded the April dividend and is assumed repaid by year end.</t>
  </si>
  <si>
    <t xml:space="preserve">[Judgement] Not forecast.</t>
  </si>
  <si>
    <t xml:space="preserve">C. NESTLÉ FY2026 GUIDANCE (LATEST, 23-JUL-2026) — USED IN THE REFORECAST AND THE GUIDANCE CHECK</t>
  </si>
  <si>
    <t xml:space="preserve">Organic growth — low end</t>
  </si>
  <si>
    <t xml:space="preserve">"OG is expected to be in the range of 3% to 4%, with RIG accelerating versus 2025" (Half-Year Results 2026 press release, 23-Jul-2026; unchanged since February).</t>
  </si>
  <si>
    <t xml:space="preserve">Organic growth — high end</t>
  </si>
  <si>
    <t xml:space="preserve">Same statement.</t>
  </si>
  <si>
    <t xml:space="preserve">Free cash flow — above (CHF m)</t>
  </si>
  <si>
    <t xml:space="preserve">"Free cash flow is expected to be above CHF 9 billion" (same release).</t>
  </si>
  <si>
    <t xml:space="preserve">Capex — low end of range (% of sales)</t>
  </si>
  <si>
    <t xml:space="preserve">"Capex will normalize within the range of 4% to 5% of sales going forward" (FY2025 results call, 19-Feb-2026).</t>
  </si>
  <si>
    <t xml:space="preserve">Capex — high end of range (% of sales)</t>
  </si>
  <si>
    <t xml:space="preserve">FX impact on sales (full year)</t>
  </si>
  <si>
    <t xml:space="preserve">"Based on current spot rates, we expect the impact of foreign exchange movements on sales to be approximately -3%" (Half-Year Results 2026 press release, 23-Jul-2026). In February the estimate was about -6%.</t>
  </si>
  <si>
    <t xml:space="preserve">H1-2026 UTOP margin (H2 guided broadly similar)</t>
  </si>
  <si>
    <t xml:space="preserve">"UTOP margin expected to improve versus 2025; second half margin now expected to be broadly similar to the first half" — H1-2026 UTOP margin 16.4%.</t>
  </si>
  <si>
    <t xml:space="preserve">FX estimate in February 2026 (superseded)</t>
  </si>
  <si>
    <t xml:space="preserve">"A further headwind in 2026, in the region of minus 6%, assuming today's spot rates" (CFO, FY2025 results call, 19-Feb-2026). Kept only to show what the July update is worth in 4. Sensitivity_FY2026.</t>
  </si>
  <si>
    <t xml:space="preserve">D. WHAT THE FY2025 VARIANCE ANALYSIS CHANGED</t>
  </si>
  <si>
    <t xml:space="preserve">• FX: the budget assumed no currency effect and FX took 5.7% off sales. → The reforecast uses Nestlé's own latest spot-rate estimate (about -3%), and FX is stress-tested in 4. Sensitivity_FY2026.</t>
  </si>
  <si>
    <t xml:space="preserve">• COGS: 151 bps worse than budget as coffee and cocoa costs peaked. → Cost ratios follow the H1-2026 level that Nestlé guides the second half to match, and COGS is the second driver in the sensitivity analysis.</t>
  </si>
  <si>
    <t xml:space="preserve">• Growth mix: volume was over-estimated and pricing under-estimated. → RIG and pricing are set from the 2026 quarterly run-rates, inside the guided 3%–4% organic growth.</t>
  </si>
  <si>
    <t xml:space="preserve">• One-offs and associates came in worse than the Adverse case. → The known CHF 1.3bn write-down is included, restructuring rises, and associates income keeps falling.</t>
  </si>
  <si>
    <t xml:space="preserve">• Capex came in below the Favorable case. → Capex follows management's 4%–5% of sales range.</t>
  </si>
  <si>
    <t xml:space="preserve">[Guided] = number taken from Nestlé's guidance or already reported; [Judgement] = own assumption. Yellow cells are the editable FY2026 assumptions (blue = hardcoded input); green cells link to other sheets.</t>
  </si>
  <si>
    <t xml:space="preserve">Nestlé Group — FY2026 Reforecast vs FY2025 Actual, full P&amp;L + Cash Flow detail (CHF m unless % or per-share)</t>
  </si>
  <si>
    <t xml:space="preserve">As of 23-Jul-2026. Column B links to 3. Variance_Analysis (FY2025 actual); column C is driven by 4. Assumptions_FY2026 with the same formulas as the FY2025 Budget.</t>
  </si>
  <si>
    <t xml:space="preserve">YoY Growth</t>
  </si>
  <si>
    <t xml:space="preserve">FY2026 GUIDANCE CHECK — is the reforecast consistent with Nestlé's latest guidance (23-Jul-2026)?</t>
  </si>
  <si>
    <t xml:space="preserve">Measure</t>
  </si>
  <si>
    <t xml:space="preserve">Status</t>
  </si>
  <si>
    <t xml:space="preserve">Nestlé guidance / statement</t>
  </si>
  <si>
    <t xml:space="preserve">Organic growth</t>
  </si>
  <si>
    <t xml:space="preserve">Around 3% up to 4%</t>
  </si>
  <si>
    <t xml:space="preserve">Real internal growth (RIG)</t>
  </si>
  <si>
    <t xml:space="preserve">RIG accelerating versus 2025</t>
  </si>
  <si>
    <t xml:space="preserve">FX impact on sales</t>
  </si>
  <si>
    <t xml:space="preserve">"Approximately -3%" at current spot rates (23-Jul-2026)</t>
  </si>
  <si>
    <t xml:space="preserve">UTOP margin</t>
  </si>
  <si>
    <t xml:space="preserve">Improve versus 2025</t>
  </si>
  <si>
    <t xml:space="preserve">UTOP margin vs H1-2026 (bps)</t>
  </si>
  <si>
    <t xml:space="preserve">H2 margin broadly similar to H1 (H1-2026: 16.4%)</t>
  </si>
  <si>
    <t xml:space="preserve">Free cash flow (FY2025 reported; FY2026 derived)</t>
  </si>
  <si>
    <t xml:space="preserve">Above CHF 9 billion</t>
  </si>
  <si>
    <t xml:space="preserve">Capex (% of sales)</t>
  </si>
  <si>
    <t xml:space="preserve">Normalise within 4% to 5% of sales (Feb-2026)</t>
  </si>
  <si>
    <t xml:space="preserve">Approach: a full-year reforecast built on FY2025 actuals. Numbers Nestlé has guided or already reported (FX, the margin path, the H1 write-down, the dividend paid) are used as published — latest source: Half-Year Results 2026 (23-Jul-2026). Every other driver is a judgement informed by the FY2025 variance and the H1-2026 actuals.</t>
  </si>
  <si>
    <t xml:space="preserve">Free cash flow: the reforecast shows the derived measure (operating cash flow − capex − intangible capex). In FY2025 it exceeded Nestlé's reported figure (CHF 10,993m vs 9,154m), mainly because of about CHF 2.0bn of exceptional distributions from associates; the FY2026 reforecast assumes a normal level of associates dividends.</t>
  </si>
  <si>
    <t xml:space="preserve">The two drivers that moved FY2025 furthest from the budget — FX and COGS — are stress-tested in 4. Sensitivity_FY2026.</t>
  </si>
  <si>
    <t xml:space="preserve">Nestlé — FY2026 Reforecast: Sensitivity Analysis on FX and COGS (CHF m unless stated)</t>
  </si>
  <si>
    <t xml:space="preserve">One driver is changed at a time (sections B–C), then both together (section D); every other assumption stays at the FY2026 Reforecast value. Test values are centred on the Base and move with it.</t>
  </si>
  <si>
    <t xml:space="preserve">A. WHY FX AND COGS — THE TWO LARGEST MISSES IN THE FY2025 VARIANCE ANALYSIS</t>
  </si>
  <si>
    <t xml:space="preserve">FY2025 Budget</t>
  </si>
  <si>
    <t xml:space="preserve">Miss</t>
  </si>
  <si>
    <t xml:space="preserve">FY2026 Base</t>
  </si>
  <si>
    <t xml:space="preserve">Why it matters</t>
  </si>
  <si>
    <t xml:space="preserve">Largest single miss (-570 bps): it explains almost all of the gap between a planned +3.0% and an actual -2.0% reported sales growth, and it scales every sales-linked line.</t>
  </si>
  <si>
    <t xml:space="preserve">Cost of goods sold (% of sales)</t>
  </si>
  <si>
    <t xml:space="preserve">Biggest cost driver (+151 bps): COGS is 54% of sales, so small ratio changes move UTOP margin and net profit the most; coffee and cocoa costs remain volatile.</t>
  </si>
  <si>
    <t xml:space="preserve">B. ONE-WAY SENSITIVITY — FX IMPACT ON SALES (all else at FY2026 Base)</t>
  </si>
  <si>
    <t xml:space="preserve">UTOP</t>
  </si>
  <si>
    <t xml:space="preserve">Operating profit</t>
  </si>
  <si>
    <t xml:space="preserve">Profit before taxes &amp; associates</t>
  </si>
  <si>
    <t xml:space="preserve">Net profit</t>
  </si>
  <si>
    <t xml:space="preserve">Free cash flow (derived)</t>
  </si>
  <si>
    <t xml:space="preserve">Net profit vs FY2026 Base</t>
  </si>
  <si>
    <t xml:space="preserve">Net profit vs FY2025 Actual</t>
  </si>
  <si>
    <t xml:space="preserve">C. ONE-WAY SENSITIVITY — COGS AS % OF SALES (all else at FY2026 Base)</t>
  </si>
  <si>
    <t xml:space="preserve">COGS (% of sales)</t>
  </si>
  <si>
    <t xml:space="preserve">D. TWO-WAY SENSITIVITY — FY2026 NET PROFIT (CHF m) FOR FX (rows) × COGS % OF SALES (columns)</t>
  </si>
  <si>
    <t xml:space="preserve">FX impact on sales ↓  /  COGS % of sales →</t>
  </si>
  <si>
    <t xml:space="preserve">Dark cell = FY2026 Base. Green = net profit at or above FY2025 actual (CHF 9,033m); red = below it. Grid formula = the reforecast's own P&amp;L logic in one line (sales × margin, plus fixed financial items and associates, taxed at the Base rate).</t>
  </si>
  <si>
    <t xml:space="preserve">E. RULES OF THUMB AND BREAK-EVENS</t>
  </si>
  <si>
    <t xml:space="preserve">Each +1 pp of FX (e.g. -3% → -2%): change in sales</t>
  </si>
  <si>
    <t xml:space="preserve">Each +1 pp of FX: change in net profit</t>
  </si>
  <si>
    <t xml:space="preserve">Each +10 bps of COGS: change in net profit</t>
  </si>
  <si>
    <t xml:space="preserve">FX move with the same net profit effect as 10 bps of COGS</t>
  </si>
  <si>
    <t xml:space="preserve">Net profit at February's FX estimate (about -6%)</t>
  </si>
  <si>
    <t xml:space="preserve">   … i.e. value of the July FX update to net profit</t>
  </si>
  <si>
    <t xml:space="preserve">COGS % at which the UTOP margin stops improving on FY2025</t>
  </si>
  <si>
    <t xml:space="preserve">COGS % at which free cash flow falls to the CHF 9bn guidance floor</t>
  </si>
  <si>
    <t xml:space="preserve">FX at which free cash flow falls to the CHF 9bn guidance floor</t>
  </si>
  <si>
    <t xml:space="preserve">Check: model at Base inputs − reforecast net profit</t>
  </si>
  <si>
    <t xml:space="preserve">How to read it</t>
  </si>
  <si>
    <t xml:space="preserve">FX here is translation: it scales sales and every sales-linked cost, so it moves profit in CHF but not the UTOP margin. Financial items, associates income, impairment and working capital are held at Base, so the tables slightly overstate FX sensitivity (in reality part of Nestlé's debt and associates income is also in foreign currencies).</t>
  </si>
  <si>
    <t xml:space="preserve">COGS changes the margin itself, so it is the bigger lever: 10 bps of COGS moves net profit about as much as 0.8 pp of FX (about CHF 64m vs CHF 82m per pp). Nestlé's move from about -6% (February) to about -3% (July) in its FX estimate is worth roughly CHF 250m of FY2026 net profit.</t>
  </si>
  <si>
    <t xml:space="preserve">Guidance headroom: the UTOP margin still improves on FY2025 only while COGS stays below about 54.1% of sales — roughly 50 bps above the Base, less than a third of the FY2025 COGS miss. Free cash flow stays above CHF 9bn unless COGS rises above about 56%; FX alone would have to fall below -20% to breach it.</t>
  </si>
</sst>
</file>

<file path=xl/styles.xml><?xml version="1.0" encoding="utf-8"?>
<styleSheet xmlns="http://schemas.openxmlformats.org/spreadsheetml/2006/main">
  <numFmts count="14">
    <numFmt numFmtId="164" formatCode="General"/>
    <numFmt numFmtId="165" formatCode="#,##0"/>
    <numFmt numFmtId="166" formatCode="0.0%"/>
    <numFmt numFmtId="167" formatCode="0.0%;\(0.0%\)"/>
    <numFmt numFmtId="168" formatCode="0.00"/>
    <numFmt numFmtId="169" formatCode="#,##0;\(#,##0\);\-"/>
    <numFmt numFmtId="170" formatCode="0.0%;\(0.0%\);\-"/>
    <numFmt numFmtId="171" formatCode="0.00;\(0.00\);\-"/>
    <numFmt numFmtId="172" formatCode="#,##0.0"/>
    <numFmt numFmtId="173" formatCode="\+#,##0&quot; bps&quot;;\-#,##0&quot; bps&quot;;0&quot; bps&quot;"/>
    <numFmt numFmtId="174" formatCode="0.00%;\(0.00%\);\-"/>
    <numFmt numFmtId="175" formatCode="0.0%;\(0.0%\);0.0%"/>
    <numFmt numFmtId="176" formatCode="0.0&quot; pp&quot;"/>
    <numFmt numFmtId="177" formatCode="0"/>
  </numFmts>
  <fonts count="35">
    <font>
      <sz val="11"/>
      <color theme="1"/>
      <name val="Calibri"/>
      <family val="2"/>
      <charset val="1"/>
    </font>
    <font>
      <sz val="10"/>
      <name val="Arial"/>
      <family val="0"/>
    </font>
    <font>
      <sz val="10"/>
      <name val="Arial"/>
      <family val="0"/>
    </font>
    <font>
      <sz val="10"/>
      <name val="Arial"/>
      <family val="0"/>
    </font>
    <font>
      <b val="true"/>
      <sz val="24"/>
      <color rgb="FFFFFFFF"/>
      <name val="Times New Roman"/>
      <family val="0"/>
      <charset val="1"/>
    </font>
    <font>
      <sz val="12"/>
      <color rgb="FFFFFFFF"/>
      <name val="Times New Roman"/>
      <family val="0"/>
      <charset val="1"/>
    </font>
    <font>
      <i val="true"/>
      <sz val="9"/>
      <color rgb="FFE4DCD1"/>
      <name val="Times New Roman"/>
      <family val="0"/>
      <charset val="1"/>
    </font>
    <font>
      <b val="true"/>
      <sz val="10"/>
      <color rgb="FF63513D"/>
      <name val="Times New Roman"/>
      <family val="0"/>
      <charset val="1"/>
    </font>
    <font>
      <sz val="10"/>
      <color rgb="FF6B675C"/>
      <name val="Times New Roman"/>
      <family val="0"/>
      <charset val="1"/>
    </font>
    <font>
      <b val="true"/>
      <sz val="11"/>
      <color rgb="FF63513D"/>
      <name val="Times New Roman"/>
      <family val="0"/>
      <charset val="1"/>
    </font>
    <font>
      <b val="true"/>
      <sz val="8"/>
      <color rgb="FF63513D"/>
      <name val="Times New Roman"/>
      <family val="0"/>
      <charset val="1"/>
    </font>
    <font>
      <b val="true"/>
      <sz val="20"/>
      <color rgb="FF000000"/>
      <name val="Times New Roman"/>
      <family val="0"/>
      <charset val="1"/>
    </font>
    <font>
      <sz val="8.5"/>
      <color rgb="FF6B675C"/>
      <name val="Times New Roman"/>
      <family val="0"/>
      <charset val="1"/>
    </font>
    <font>
      <sz val="10"/>
      <color rgb="FF000000"/>
      <name val="Times New Roman"/>
      <family val="0"/>
      <charset val="1"/>
    </font>
    <font>
      <b val="true"/>
      <sz val="10"/>
      <color rgb="FFFFFFFF"/>
      <name val="Times New Roman"/>
      <family val="0"/>
      <charset val="1"/>
    </font>
    <font>
      <u val="single"/>
      <sz val="10"/>
      <color rgb="FF63513D"/>
      <name val="Times New Roman"/>
      <family val="0"/>
      <charset val="1"/>
    </font>
    <font>
      <b val="true"/>
      <sz val="9"/>
      <color rgb="FF63513D"/>
      <name val="Times New Roman"/>
      <family val="0"/>
      <charset val="1"/>
    </font>
    <font>
      <sz val="9"/>
      <color rgb="FF0000FF"/>
      <name val="Times New Roman"/>
      <family val="0"/>
      <charset val="1"/>
    </font>
    <font>
      <sz val="9"/>
      <color rgb="FF000000"/>
      <name val="Times New Roman"/>
      <family val="0"/>
      <charset val="1"/>
    </font>
    <font>
      <sz val="9"/>
      <color rgb="FF008000"/>
      <name val="Times New Roman"/>
      <family val="0"/>
      <charset val="1"/>
    </font>
    <font>
      <i val="true"/>
      <sz val="8.5"/>
      <color rgb="FF6B675C"/>
      <name val="Times New Roman"/>
      <family val="0"/>
      <charset val="1"/>
    </font>
    <font>
      <sz val="11"/>
      <color theme="1"/>
      <name val="Arial"/>
      <family val="2"/>
      <charset val="1"/>
    </font>
    <font>
      <b val="true"/>
      <sz val="14"/>
      <color rgb="FF63513D"/>
      <name val="Times New Roman"/>
      <family val="0"/>
      <charset val="1"/>
    </font>
    <font>
      <sz val="10"/>
      <name val="Times New Roman"/>
      <family val="0"/>
      <charset val="1"/>
    </font>
    <font>
      <b val="true"/>
      <sz val="10"/>
      <name val="Times New Roman"/>
      <family val="0"/>
      <charset val="1"/>
    </font>
    <font>
      <sz val="10"/>
      <color rgb="FF0000FF"/>
      <name val="Times New Roman"/>
      <family val="0"/>
      <charset val="1"/>
    </font>
    <font>
      <b val="true"/>
      <sz val="10"/>
      <color rgb="FF0000FF"/>
      <name val="Times New Roman"/>
      <family val="0"/>
      <charset val="1"/>
    </font>
    <font>
      <i val="true"/>
      <sz val="9"/>
      <color rgb="FF6B675C"/>
      <name val="Times New Roman"/>
      <family val="0"/>
      <charset val="1"/>
    </font>
    <font>
      <b val="true"/>
      <sz val="10"/>
      <color rgb="FF000000"/>
      <name val="Times New Roman"/>
      <family val="0"/>
      <charset val="1"/>
    </font>
    <font>
      <b val="true"/>
      <i val="true"/>
      <sz val="10"/>
      <color rgb="FF63513D"/>
      <name val="Times New Roman"/>
      <family val="0"/>
      <charset val="1"/>
    </font>
    <font>
      <sz val="9"/>
      <color rgb="FF6B675C"/>
      <name val="Times New Roman"/>
      <family val="0"/>
      <charset val="1"/>
    </font>
    <font>
      <sz val="10"/>
      <color rgb="FF8A857C"/>
      <name val="Times New Roman"/>
      <family val="0"/>
      <charset val="1"/>
    </font>
    <font>
      <sz val="10"/>
      <color rgb="FF008000"/>
      <name val="Times New Roman"/>
      <family val="0"/>
      <charset val="1"/>
    </font>
    <font>
      <b val="true"/>
      <sz val="10"/>
      <color rgb="FF008000"/>
      <name val="Times New Roman"/>
      <family val="0"/>
      <charset val="1"/>
    </font>
    <font>
      <i val="true"/>
      <sz val="10"/>
      <color rgb="FF000000"/>
      <name val="Times New Roman"/>
      <family val="0"/>
      <charset val="1"/>
    </font>
  </fonts>
  <fills count="6">
    <fill>
      <patternFill patternType="none"/>
    </fill>
    <fill>
      <patternFill patternType="gray125"/>
    </fill>
    <fill>
      <patternFill patternType="solid">
        <fgColor rgb="FF63513D"/>
        <bgColor rgb="FF6B675C"/>
      </patternFill>
    </fill>
    <fill>
      <patternFill patternType="solid">
        <fgColor rgb="FFF3EFEA"/>
        <bgColor rgb="FFFFF2CC"/>
      </patternFill>
    </fill>
    <fill>
      <patternFill patternType="solid">
        <fgColor rgb="FFFFF2CC"/>
        <bgColor rgb="FFF3EFEA"/>
      </patternFill>
    </fill>
    <fill>
      <patternFill patternType="solid">
        <fgColor rgb="FFE4DCD1"/>
        <bgColor rgb="FFD9D4CD"/>
      </patternFill>
    </fill>
  </fills>
  <borders count="6">
    <border diagonalUp="false" diagonalDown="false">
      <left/>
      <right/>
      <top/>
      <bottom/>
      <diagonal/>
    </border>
    <border diagonalUp="false" diagonalDown="false">
      <left/>
      <right/>
      <top/>
      <bottom style="thin">
        <color rgb="FF63513D"/>
      </bottom>
      <diagonal/>
    </border>
    <border diagonalUp="false" diagonalDown="false">
      <left/>
      <right/>
      <top style="medium">
        <color rgb="FF63513D"/>
      </top>
      <bottom/>
      <diagonal/>
    </border>
    <border diagonalUp="false" diagonalDown="false">
      <left style="thick">
        <color rgb="FF63513D"/>
      </left>
      <right/>
      <top/>
      <bottom/>
      <diagonal/>
    </border>
    <border diagonalUp="false" diagonalDown="false">
      <left/>
      <right/>
      <top/>
      <bottom style="thin">
        <color rgb="FFD9D4CD"/>
      </bottom>
      <diagonal/>
    </border>
    <border diagonalUp="false" diagonalDown="false">
      <left/>
      <right/>
      <top style="thin">
        <color rgb="FF63513D"/>
      </top>
      <bottom style="thin">
        <color rgb="FFD9D4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1" shrinkToFit="false"/>
      <protection locked="true" hidden="false"/>
    </xf>
    <xf numFmtId="164" fontId="5" fillId="2" borderId="0" xfId="0" applyFont="true" applyBorder="false" applyAlignment="true" applyProtection="false">
      <alignment horizontal="left" vertical="center" textRotation="0" wrapText="false" indent="1" shrinkToFit="false"/>
      <protection locked="true" hidden="false"/>
    </xf>
    <xf numFmtId="164" fontId="6" fillId="2" borderId="0" xfId="0" applyFont="true" applyBorder="fals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3" borderId="2" xfId="0" applyFont="true" applyBorder="true" applyAlignment="true" applyProtection="false">
      <alignment horizontal="left" vertical="bottom" textRotation="0" wrapText="false" indent="1" shrinkToFit="false"/>
      <protection locked="true" hidden="false"/>
    </xf>
    <xf numFmtId="165" fontId="11" fillId="3" borderId="0" xfId="0" applyFont="true" applyBorder="true" applyAlignment="true" applyProtection="false">
      <alignment horizontal="left" vertical="center" textRotation="0" wrapText="false" indent="1" shrinkToFit="false"/>
      <protection locked="true" hidden="false"/>
    </xf>
    <xf numFmtId="166" fontId="11" fillId="3" borderId="0" xfId="0" applyFont="true" applyBorder="true" applyAlignment="true" applyProtection="false">
      <alignment horizontal="left" vertical="center" textRotation="0" wrapText="false" indent="1" shrinkToFit="false"/>
      <protection locked="true" hidden="false"/>
    </xf>
    <xf numFmtId="167" fontId="11" fillId="3" borderId="0" xfId="0" applyFont="true" applyBorder="true" applyAlignment="true" applyProtection="false">
      <alignment horizontal="left" vertical="center" textRotation="0" wrapText="false" indent="1" shrinkToFit="false"/>
      <protection locked="true" hidden="false"/>
    </xf>
    <xf numFmtId="164" fontId="12" fillId="3" borderId="0" xfId="0" applyFont="true" applyBorder="true" applyAlignment="true" applyProtection="false">
      <alignment horizontal="left" vertical="top" textRotation="0" wrapText="false" indent="1"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8" fontId="11" fillId="3" borderId="0" xfId="0" applyFont="true" applyBorder="true" applyAlignment="true" applyProtection="false">
      <alignment horizontal="left" vertical="center" textRotation="0" wrapText="false" indent="1" shrinkToFit="false"/>
      <protection locked="true" hidden="false"/>
    </xf>
    <xf numFmtId="164" fontId="13" fillId="0" borderId="3" xfId="0" applyFont="true" applyBorder="true" applyAlignment="true" applyProtection="false">
      <alignment horizontal="left" vertical="top" textRotation="0" wrapText="true" indent="1" shrinkToFit="false"/>
      <protection locked="true" hidden="false"/>
    </xf>
    <xf numFmtId="164" fontId="14" fillId="2" borderId="0" xfId="0" applyFont="true" applyBorder="false" applyAlignment="true" applyProtection="false">
      <alignment horizontal="left" vertical="center" textRotation="0" wrapText="false" indent="0" shrinkToFit="false"/>
      <protection locked="true" hidden="false"/>
    </xf>
    <xf numFmtId="164" fontId="14" fillId="2" borderId="0" xfId="0" applyFont="true" applyBorder="true" applyAlignment="true" applyProtection="false">
      <alignment horizontal="left" vertical="center" textRotation="0" wrapText="false" indent="0" shrinkToFit="false"/>
      <protection locked="true" hidden="false"/>
    </xf>
    <xf numFmtId="164" fontId="13" fillId="0" borderId="4" xfId="0" applyFont="true" applyBorder="true" applyAlignment="true" applyProtection="false">
      <alignment horizontal="center" vertical="center" textRotation="0" wrapText="false" indent="0" shrinkToFit="false"/>
      <protection locked="true" hidden="false"/>
    </xf>
    <xf numFmtId="164" fontId="15" fillId="0" borderId="4" xfId="0" applyFont="true" applyBorder="true" applyAlignment="true" applyProtection="false">
      <alignment horizontal="left" vertical="center" textRotation="0" wrapText="false" indent="0" shrinkToFit="false"/>
      <protection locked="true" hidden="false"/>
    </xf>
    <xf numFmtId="164" fontId="13" fillId="0" borderId="4"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18" fillId="4" borderId="0"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24" fillId="0" borderId="4" xfId="0" applyFont="true" applyBorder="true" applyAlignment="true" applyProtection="false">
      <alignment horizontal="general" vertical="bottom" textRotation="0" wrapText="false" indent="0" shrinkToFit="false"/>
      <protection locked="true" hidden="false"/>
    </xf>
    <xf numFmtId="169" fontId="25" fillId="0" borderId="4" xfId="0" applyFont="true" applyBorder="true" applyAlignment="true" applyProtection="false">
      <alignment horizontal="general" vertical="bottom" textRotation="0" wrapText="false" indent="0" shrinkToFit="false"/>
      <protection locked="true" hidden="false"/>
    </xf>
    <xf numFmtId="170" fontId="13" fillId="0" borderId="4" xfId="0" applyFont="true" applyBorder="true" applyAlignment="true" applyProtection="false">
      <alignment horizontal="general" vertical="bottom" textRotation="0" wrapText="false" indent="0" shrinkToFit="false"/>
      <protection locked="true" hidden="false"/>
    </xf>
    <xf numFmtId="170" fontId="25" fillId="0" borderId="4" xfId="0" applyFont="true" applyBorder="true" applyAlignment="true" applyProtection="false">
      <alignment horizontal="general" vertical="bottom" textRotation="0" wrapText="false" indent="0" shrinkToFit="false"/>
      <protection locked="true" hidden="false"/>
    </xf>
    <xf numFmtId="164" fontId="24" fillId="3" borderId="5" xfId="0" applyFont="true" applyBorder="true" applyAlignment="true" applyProtection="false">
      <alignment horizontal="general" vertical="bottom" textRotation="0" wrapText="false" indent="0" shrinkToFit="false"/>
      <protection locked="true" hidden="false"/>
    </xf>
    <xf numFmtId="169" fontId="24" fillId="3" borderId="5" xfId="0" applyFont="true" applyBorder="true" applyAlignment="true" applyProtection="false">
      <alignment horizontal="general" vertical="bottom" textRotation="0" wrapText="false" indent="0" shrinkToFit="false"/>
      <protection locked="true" hidden="false"/>
    </xf>
    <xf numFmtId="170" fontId="24" fillId="3" borderId="5" xfId="0" applyFont="true" applyBorder="true" applyAlignment="true" applyProtection="false">
      <alignment horizontal="general" vertical="bottom" textRotation="0" wrapText="false" indent="0" shrinkToFit="false"/>
      <protection locked="true" hidden="false"/>
    </xf>
    <xf numFmtId="169" fontId="26" fillId="3" borderId="5" xfId="0" applyFont="true" applyBorder="true" applyAlignment="true" applyProtection="false">
      <alignment horizontal="general" vertical="bottom" textRotation="0" wrapText="false" indent="0" shrinkToFit="false"/>
      <protection locked="true" hidden="false"/>
    </xf>
    <xf numFmtId="170" fontId="26" fillId="3" borderId="5"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top" textRotation="0" wrapText="true" indent="0" shrinkToFit="false"/>
      <protection locked="true" hidden="false"/>
    </xf>
    <xf numFmtId="164" fontId="23" fillId="3" borderId="5" xfId="0" applyFont="true" applyBorder="true" applyAlignment="tru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general" vertical="bottom" textRotation="0" wrapText="false" indent="0" shrinkToFit="false"/>
      <protection locked="true" hidden="false"/>
    </xf>
    <xf numFmtId="164" fontId="23" fillId="0" borderId="4" xfId="0" applyFont="true" applyBorder="true" applyAlignment="true" applyProtection="false">
      <alignment horizontal="general" vertical="bottom" textRotation="0" wrapText="false" indent="0" shrinkToFit="false"/>
      <protection locked="true" hidden="false"/>
    </xf>
    <xf numFmtId="169" fontId="28" fillId="3" borderId="5" xfId="0" applyFont="true" applyBorder="true" applyAlignment="true" applyProtection="false">
      <alignment horizontal="general" vertical="bottom" textRotation="0" wrapText="false" indent="0" shrinkToFit="false"/>
      <protection locked="true" hidden="false"/>
    </xf>
    <xf numFmtId="169" fontId="28" fillId="0" borderId="4" xfId="0" applyFont="true" applyBorder="true" applyAlignment="true" applyProtection="false">
      <alignment horizontal="general" vertical="bottom" textRotation="0" wrapText="false" indent="0" shrinkToFit="false"/>
      <protection locked="true" hidden="false"/>
    </xf>
    <xf numFmtId="171" fontId="25" fillId="0" borderId="4"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bottom" textRotation="0" wrapText="false" indent="0" shrinkToFit="false"/>
      <protection locked="true" hidden="false"/>
    </xf>
    <xf numFmtId="170" fontId="28" fillId="0" borderId="4" xfId="0" applyFont="true" applyBorder="true" applyAlignment="true" applyProtection="false">
      <alignment horizontal="general" vertical="bottom" textRotation="0" wrapText="false" indent="0" shrinkToFit="false"/>
      <protection locked="true" hidden="false"/>
    </xf>
    <xf numFmtId="164" fontId="24" fillId="5" borderId="0" xfId="0" applyFont="true" applyBorder="true" applyAlignment="true" applyProtection="false">
      <alignment horizontal="general" vertical="bottom" textRotation="0" wrapText="false" indent="0" shrinkToFit="false"/>
      <protection locked="true" hidden="false"/>
    </xf>
    <xf numFmtId="164" fontId="23" fillId="0" borderId="4" xfId="0" applyFont="true" applyBorder="true" applyAlignment="true" applyProtection="false">
      <alignment horizontal="general" vertical="top" textRotation="0" wrapText="true" indent="0" shrinkToFit="false"/>
      <protection locked="true" hidden="false"/>
    </xf>
    <xf numFmtId="170" fontId="25" fillId="4" borderId="4" xfId="0" applyFont="true" applyBorder="true" applyAlignment="true" applyProtection="false">
      <alignment horizontal="general" vertical="top" textRotation="0" wrapText="false" indent="0" shrinkToFit="false"/>
      <protection locked="true" hidden="false"/>
    </xf>
    <xf numFmtId="164" fontId="30" fillId="0" borderId="4" xfId="0" applyFont="true" applyBorder="true" applyAlignment="true" applyProtection="false">
      <alignment horizontal="general" vertical="top" textRotation="0" wrapText="true" indent="0" shrinkToFit="false"/>
      <protection locked="true" hidden="false"/>
    </xf>
    <xf numFmtId="170" fontId="31" fillId="0" borderId="4" xfId="0" applyFont="true" applyBorder="true" applyAlignment="true" applyProtection="false">
      <alignment horizontal="general" vertical="top" textRotation="0" wrapText="false" indent="0" shrinkToFit="false"/>
      <protection locked="true" hidden="false"/>
    </xf>
    <xf numFmtId="170" fontId="13" fillId="0" borderId="4" xfId="0" applyFont="true" applyBorder="true" applyAlignment="true" applyProtection="false">
      <alignment horizontal="general" vertical="top" textRotation="0" wrapText="false" indent="0" shrinkToFit="false"/>
      <protection locked="true" hidden="false"/>
    </xf>
    <xf numFmtId="172" fontId="31" fillId="0" borderId="4" xfId="0" applyFont="true" applyBorder="true" applyAlignment="true" applyProtection="false">
      <alignment horizontal="general" vertical="top" textRotation="0" wrapText="false" indent="0" shrinkToFit="false"/>
      <protection locked="true" hidden="false"/>
    </xf>
    <xf numFmtId="172" fontId="25" fillId="4" borderId="4" xfId="0" applyFont="true" applyBorder="true" applyAlignment="true" applyProtection="false">
      <alignment horizontal="general" vertical="top"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false" indent="0" shrinkToFit="false"/>
      <protection locked="true" hidden="false"/>
    </xf>
    <xf numFmtId="169" fontId="31" fillId="0" borderId="4" xfId="0" applyFont="true" applyBorder="true" applyAlignment="true" applyProtection="false">
      <alignment horizontal="general" vertical="top" textRotation="0" wrapText="false" indent="0" shrinkToFit="false"/>
      <protection locked="true" hidden="false"/>
    </xf>
    <xf numFmtId="169" fontId="25" fillId="4" borderId="4" xfId="0" applyFont="true" applyBorder="true" applyAlignment="true" applyProtection="false">
      <alignment horizontal="general" vertical="top" textRotation="0" wrapText="false" indent="0" shrinkToFit="false"/>
      <protection locked="true" hidden="false"/>
    </xf>
    <xf numFmtId="164" fontId="23" fillId="2" borderId="0" xfId="0" applyFont="true" applyBorder="true" applyAlignment="true" applyProtection="false">
      <alignment horizontal="center" vertical="center" textRotation="0" wrapText="true" indent="0" shrinkToFit="false"/>
      <protection locked="true" hidden="false"/>
    </xf>
    <xf numFmtId="169" fontId="32" fillId="0" borderId="4" xfId="0" applyFont="true" applyBorder="true" applyAlignment="true" applyProtection="false">
      <alignment horizontal="general" vertical="bottom" textRotation="0" wrapText="false" indent="0" shrinkToFit="false"/>
      <protection locked="true" hidden="false"/>
    </xf>
    <xf numFmtId="164" fontId="28" fillId="3" borderId="5" xfId="0" applyFont="true" applyBorder="true" applyAlignment="true" applyProtection="false">
      <alignment horizontal="general" vertical="bottom" textRotation="0" wrapText="false" indent="0" shrinkToFit="false"/>
      <protection locked="true" hidden="false"/>
    </xf>
    <xf numFmtId="169" fontId="33" fillId="3" borderId="5" xfId="0" applyFont="true" applyBorder="true" applyAlignment="true" applyProtection="false">
      <alignment horizontal="general" vertical="bottom" textRotation="0" wrapText="false" indent="0" shrinkToFit="false"/>
      <protection locked="true" hidden="false"/>
    </xf>
    <xf numFmtId="170" fontId="28" fillId="3" borderId="5" xfId="0" applyFont="true" applyBorder="true" applyAlignment="true" applyProtection="false">
      <alignment horizontal="general" vertical="bottom" textRotation="0" wrapText="false" indent="0" shrinkToFit="false"/>
      <protection locked="true" hidden="false"/>
    </xf>
    <xf numFmtId="170" fontId="32" fillId="0" borderId="4" xfId="0" applyFont="true" applyBorder="true" applyAlignment="true" applyProtection="false">
      <alignment horizontal="general" vertical="bottom" textRotation="0" wrapText="false" indent="0" shrinkToFit="false"/>
      <protection locked="true" hidden="false"/>
    </xf>
    <xf numFmtId="171" fontId="32" fillId="0" borderId="4" xfId="0" applyFont="true" applyBorder="true" applyAlignment="true" applyProtection="false">
      <alignment horizontal="general" vertical="bottom" textRotation="0" wrapText="false" indent="0" shrinkToFit="false"/>
      <protection locked="true" hidden="false"/>
    </xf>
    <xf numFmtId="171" fontId="13" fillId="0" borderId="4" xfId="0" applyFont="true" applyBorder="true" applyAlignment="true" applyProtection="false">
      <alignment horizontal="general" vertical="bottom" textRotation="0" wrapText="false" indent="0" shrinkToFit="false"/>
      <protection locked="true" hidden="false"/>
    </xf>
    <xf numFmtId="169" fontId="13" fillId="0" borderId="4"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general" vertical="bottom" textRotation="0" wrapText="false" indent="0" shrinkToFit="false"/>
      <protection locked="true" hidden="false"/>
    </xf>
    <xf numFmtId="173" fontId="13" fillId="0" borderId="4" xfId="0" applyFont="true" applyBorder="true" applyAlignment="true" applyProtection="false">
      <alignment horizontal="general" vertical="bottom" textRotation="0" wrapText="false" indent="0" shrinkToFit="false"/>
      <protection locked="true" hidden="false"/>
    </xf>
    <xf numFmtId="164" fontId="28" fillId="0" borderId="4" xfId="0" applyFont="true" applyBorder="true" applyAlignment="true" applyProtection="false">
      <alignment horizontal="general" vertical="bottom" textRotation="0" wrapText="false" indent="0" shrinkToFit="false"/>
      <protection locked="true" hidden="false"/>
    </xf>
    <xf numFmtId="170" fontId="33" fillId="0" borderId="4" xfId="0" applyFont="true" applyBorder="true" applyAlignment="true" applyProtection="false">
      <alignment horizontal="general" vertical="bottom" textRotation="0" wrapText="false" indent="0" shrinkToFit="false"/>
      <protection locked="true" hidden="false"/>
    </xf>
    <xf numFmtId="170" fontId="26" fillId="0" borderId="4" xfId="0" applyFont="true" applyBorder="true" applyAlignment="true" applyProtection="false">
      <alignment horizontal="general" vertical="bottom" textRotation="0" wrapText="false" indent="0" shrinkToFit="false"/>
      <protection locked="true" hidden="false"/>
    </xf>
    <xf numFmtId="173" fontId="28" fillId="0" borderId="4" xfId="0" applyFont="true" applyBorder="true" applyAlignment="true" applyProtection="false">
      <alignment horizontal="general" vertical="bottom" textRotation="0" wrapText="false" indent="0" shrinkToFit="false"/>
      <protection locked="true" hidden="false"/>
    </xf>
    <xf numFmtId="173" fontId="28" fillId="3" borderId="5" xfId="0" applyFont="true" applyBorder="true" applyAlignment="true" applyProtection="false">
      <alignment horizontal="general" vertical="bottom" textRotation="0" wrapText="false" indent="0" shrinkToFit="false"/>
      <protection locked="true" hidden="false"/>
    </xf>
    <xf numFmtId="164" fontId="23" fillId="0" borderId="5" xfId="0" applyFont="true" applyBorder="tru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left" vertical="top" textRotation="0" wrapText="true" indent="0" shrinkToFit="false"/>
      <protection locked="true" hidden="false"/>
    </xf>
    <xf numFmtId="168" fontId="32" fillId="0" borderId="4" xfId="0" applyFont="true" applyBorder="true" applyAlignment="true" applyProtection="false">
      <alignment horizontal="general" vertical="bottom" textRotation="0" wrapText="false" indent="0" shrinkToFit="false"/>
      <protection locked="true" hidden="false"/>
    </xf>
    <xf numFmtId="168" fontId="25" fillId="0" borderId="4" xfId="0" applyFont="true" applyBorder="true" applyAlignment="true" applyProtection="false">
      <alignment horizontal="general" vertical="bottom" textRotation="0" wrapText="false" indent="0" shrinkToFit="false"/>
      <protection locked="true" hidden="false"/>
    </xf>
    <xf numFmtId="168" fontId="13" fillId="0" borderId="4"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center" vertical="bottom" textRotation="0" wrapText="false" indent="0" shrinkToFit="false"/>
      <protection locked="true" hidden="false"/>
    </xf>
    <xf numFmtId="164" fontId="28" fillId="3" borderId="5" xfId="0" applyFont="true" applyBorder="true" applyAlignment="true" applyProtection="false">
      <alignment horizontal="center" vertical="bottom" textRotation="0" wrapText="false" indent="0" shrinkToFit="false"/>
      <protection locked="true" hidden="false"/>
    </xf>
    <xf numFmtId="164" fontId="32" fillId="0" borderId="4" xfId="0" applyFont="true" applyBorder="true" applyAlignment="true" applyProtection="false">
      <alignment horizontal="general" vertical="bottom" textRotation="0" wrapText="false" indent="0" shrinkToFit="false"/>
      <protection locked="true" hidden="false"/>
    </xf>
    <xf numFmtId="164" fontId="28" fillId="0" borderId="4"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8" fillId="5" borderId="0" xfId="0" applyFont="true" applyBorder="true" applyAlignment="false" applyProtection="false">
      <alignment horizontal="general" vertical="bottom" textRotation="0" wrapText="false" indent="0" shrinkToFit="false"/>
      <protection locked="true" hidden="false"/>
    </xf>
    <xf numFmtId="164" fontId="23" fillId="5" borderId="0" xfId="0" applyFont="true" applyBorder="true" applyAlignment="false" applyProtection="false">
      <alignment horizontal="general" vertical="bottom" textRotation="0" wrapText="false" indent="0" shrinkToFit="false"/>
      <protection locked="true" hidden="false"/>
    </xf>
    <xf numFmtId="164" fontId="13" fillId="0" borderId="4" xfId="0" applyFont="true" applyBorder="true" applyAlignment="true" applyProtection="false">
      <alignment horizontal="general" vertical="top" textRotation="0" wrapText="true" indent="0" shrinkToFit="false"/>
      <protection locked="true" hidden="false"/>
    </xf>
    <xf numFmtId="170" fontId="32" fillId="0" borderId="4" xfId="0" applyFont="true" applyBorder="true" applyAlignment="true" applyProtection="false">
      <alignment horizontal="general" vertical="top" textRotation="0" wrapText="false" indent="0" shrinkToFit="false"/>
      <protection locked="true" hidden="false"/>
    </xf>
    <xf numFmtId="170" fontId="25" fillId="0" borderId="4" xfId="0" applyFont="true" applyBorder="true" applyAlignment="true" applyProtection="false">
      <alignment horizontal="general" vertical="top" textRotation="0" wrapText="false" indent="0" shrinkToFit="false"/>
      <protection locked="true" hidden="false"/>
    </xf>
    <xf numFmtId="164" fontId="13" fillId="0" borderId="4" xfId="0" applyFont="true" applyBorder="true" applyAlignment="true" applyProtection="false">
      <alignment horizontal="general" vertical="top" textRotation="0" wrapText="true" indent="1" shrinkToFit="false"/>
      <protection locked="true" hidden="false"/>
    </xf>
    <xf numFmtId="174" fontId="32" fillId="0" borderId="4" xfId="0" applyFont="true" applyBorder="true" applyAlignment="true" applyProtection="false">
      <alignment horizontal="general" vertical="top" textRotation="0" wrapText="false" indent="0" shrinkToFit="false"/>
      <protection locked="true" hidden="false"/>
    </xf>
    <xf numFmtId="174" fontId="25" fillId="4" borderId="4" xfId="0" applyFont="true" applyBorder="true" applyAlignment="true" applyProtection="false">
      <alignment horizontal="general" vertical="top" textRotation="0" wrapText="false" indent="0" shrinkToFit="false"/>
      <protection locked="true" hidden="false"/>
    </xf>
    <xf numFmtId="174" fontId="25" fillId="0" borderId="4" xfId="0" applyFont="true" applyBorder="true" applyAlignment="true" applyProtection="false">
      <alignment horizontal="general" vertical="top" textRotation="0" wrapText="false" indent="0" shrinkToFit="false"/>
      <protection locked="true" hidden="false"/>
    </xf>
    <xf numFmtId="172" fontId="32" fillId="0" borderId="4" xfId="0" applyFont="true" applyBorder="true" applyAlignment="true" applyProtection="false">
      <alignment horizontal="general" vertical="top" textRotation="0" wrapText="false" indent="0" shrinkToFit="false"/>
      <protection locked="true" hidden="false"/>
    </xf>
    <xf numFmtId="172" fontId="25" fillId="0" borderId="4" xfId="0" applyFont="true" applyBorder="true" applyAlignment="true" applyProtection="false">
      <alignment horizontal="general" vertical="top" textRotation="0" wrapText="false" indent="0" shrinkToFit="false"/>
      <protection locked="true" hidden="false"/>
    </xf>
    <xf numFmtId="169" fontId="32" fillId="0" borderId="4" xfId="0" applyFont="true" applyBorder="true" applyAlignment="true" applyProtection="false">
      <alignment horizontal="general" vertical="top" textRotation="0" wrapText="false" indent="0" shrinkToFit="false"/>
      <protection locked="true" hidden="false"/>
    </xf>
    <xf numFmtId="169" fontId="25" fillId="0" borderId="4" xfId="0" applyFont="true" applyBorder="true" applyAlignment="true" applyProtection="false">
      <alignment horizontal="general" vertical="top" textRotation="0" wrapText="false" indent="0" shrinkToFit="false"/>
      <protection locked="true" hidden="false"/>
    </xf>
    <xf numFmtId="164" fontId="28" fillId="5" borderId="0" xfId="0" applyFont="true" applyBorder="true" applyAlignment="true" applyProtection="false">
      <alignment horizontal="left" vertical="top" textRotation="0" wrapText="true" indent="0" shrinkToFit="false"/>
      <protection locked="true" hidden="false"/>
    </xf>
    <xf numFmtId="164" fontId="23" fillId="0" borderId="4" xfId="0" applyFont="true" applyBorder="true" applyAlignment="true" applyProtection="false">
      <alignment horizontal="general" vertical="top" textRotation="0" wrapText="false" indent="0" shrinkToFit="false"/>
      <protection locked="true" hidden="false"/>
    </xf>
    <xf numFmtId="164" fontId="13" fillId="0" borderId="4" xfId="0" applyFont="true" applyBorder="true" applyAlignment="false" applyProtection="false">
      <alignment horizontal="general" vertical="bottom" textRotation="0" wrapText="false" indent="0" shrinkToFit="false"/>
      <protection locked="true" hidden="false"/>
    </xf>
    <xf numFmtId="169" fontId="32" fillId="0" borderId="4" xfId="0" applyFont="true" applyBorder="true" applyAlignment="false" applyProtection="false">
      <alignment horizontal="general" vertical="bottom" textRotation="0" wrapText="false" indent="0" shrinkToFit="false"/>
      <protection locked="true" hidden="false"/>
    </xf>
    <xf numFmtId="170" fontId="13" fillId="0" borderId="4" xfId="0" applyFont="true" applyBorder="true" applyAlignment="false" applyProtection="false">
      <alignment horizontal="general" vertical="bottom" textRotation="0" wrapText="false" indent="0" shrinkToFit="false"/>
      <protection locked="true" hidden="false"/>
    </xf>
    <xf numFmtId="164" fontId="23" fillId="0" borderId="4" xfId="0" applyFont="true" applyBorder="true" applyAlignment="false" applyProtection="false">
      <alignment horizontal="general" vertical="bottom" textRotation="0" wrapText="false" indent="0" shrinkToFit="false"/>
      <protection locked="true" hidden="false"/>
    </xf>
    <xf numFmtId="164" fontId="28" fillId="3" borderId="5" xfId="0" applyFont="true" applyBorder="true" applyAlignment="false" applyProtection="false">
      <alignment horizontal="general" vertical="bottom" textRotation="0" wrapText="false" indent="0" shrinkToFit="false"/>
      <protection locked="true" hidden="false"/>
    </xf>
    <xf numFmtId="169" fontId="33" fillId="3" borderId="5" xfId="0" applyFont="true" applyBorder="true" applyAlignment="false" applyProtection="false">
      <alignment horizontal="general" vertical="bottom" textRotation="0" wrapText="false" indent="0" shrinkToFit="false"/>
      <protection locked="true" hidden="false"/>
    </xf>
    <xf numFmtId="169" fontId="28" fillId="3" borderId="5" xfId="0" applyFont="true" applyBorder="true" applyAlignment="false" applyProtection="false">
      <alignment horizontal="general" vertical="bottom" textRotation="0" wrapText="false" indent="0" shrinkToFit="false"/>
      <protection locked="true" hidden="false"/>
    </xf>
    <xf numFmtId="170" fontId="28" fillId="3" borderId="5" xfId="0" applyFont="true" applyBorder="true" applyAlignment="false" applyProtection="false">
      <alignment horizontal="general" vertical="bottom" textRotation="0" wrapText="false" indent="0" shrinkToFit="false"/>
      <protection locked="true" hidden="false"/>
    </xf>
    <xf numFmtId="164" fontId="23" fillId="0" borderId="5" xfId="0" applyFont="true" applyBorder="true" applyAlignment="false" applyProtection="false">
      <alignment horizontal="general" vertical="bottom" textRotation="0" wrapText="false" indent="0" shrinkToFit="false"/>
      <protection locked="true" hidden="false"/>
    </xf>
    <xf numFmtId="173" fontId="13" fillId="0" borderId="4" xfId="0" applyFont="true" applyBorder="true" applyAlignment="false" applyProtection="false">
      <alignment horizontal="general" vertical="bottom" textRotation="0" wrapText="false" indent="0" shrinkToFit="false"/>
      <protection locked="true" hidden="false"/>
    </xf>
    <xf numFmtId="168" fontId="32" fillId="0" borderId="4"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9" fontId="13" fillId="0" borderId="4" xfId="0" applyFont="tru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left" vertical="top" textRotation="0" wrapText="true" indent="0" shrinkToFit="false"/>
      <protection locked="true" hidden="false"/>
    </xf>
    <xf numFmtId="164" fontId="28" fillId="5" borderId="4" xfId="0" applyFont="true" applyBorder="true" applyAlignment="false" applyProtection="false">
      <alignment horizontal="general" vertical="bottom" textRotation="0" wrapText="false" indent="0" shrinkToFit="false"/>
      <protection locked="true" hidden="false"/>
    </xf>
    <xf numFmtId="164" fontId="28" fillId="5" borderId="4" xfId="0" applyFont="true" applyBorder="true" applyAlignment="true" applyProtection="false">
      <alignment horizontal="center" vertical="center" textRotation="0" wrapText="false" indent="0" shrinkToFit="false"/>
      <protection locked="true" hidden="false"/>
    </xf>
    <xf numFmtId="170" fontId="32" fillId="0" borderId="4" xfId="0" applyFont="true" applyBorder="true" applyAlignment="false" applyProtection="false">
      <alignment horizontal="general" vertical="bottom" textRotation="0" wrapText="false" indent="0" shrinkToFit="false"/>
      <protection locked="true" hidden="false"/>
    </xf>
    <xf numFmtId="164" fontId="28" fillId="0" borderId="4"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left" vertical="top"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8" fillId="5" borderId="4" xfId="0" applyFont="true" applyBorder="true" applyAlignment="true" applyProtection="false">
      <alignment horizontal="left" vertical="center" textRotation="0" wrapText="true" indent="0" shrinkToFit="false"/>
      <protection locked="true" hidden="false"/>
    </xf>
    <xf numFmtId="164" fontId="28" fillId="5" borderId="4" xfId="0" applyFont="true" applyBorder="true" applyAlignment="true" applyProtection="false">
      <alignment horizontal="center" vertical="center" textRotation="0" wrapText="true" indent="0" shrinkToFit="false"/>
      <protection locked="true" hidden="false"/>
    </xf>
    <xf numFmtId="164" fontId="13" fillId="0" borderId="4" xfId="0" applyFont="true" applyBorder="true" applyAlignment="true" applyProtection="false">
      <alignment horizontal="general" vertical="top" textRotation="0" wrapText="false" indent="0" shrinkToFit="false"/>
      <protection locked="true" hidden="false"/>
    </xf>
    <xf numFmtId="175" fontId="32" fillId="0" borderId="4" xfId="0" applyFont="true" applyBorder="true" applyAlignment="true" applyProtection="false">
      <alignment horizontal="center" vertical="top" textRotation="0" wrapText="false" indent="0" shrinkToFit="false"/>
      <protection locked="true" hidden="false"/>
    </xf>
    <xf numFmtId="173" fontId="13" fillId="0" borderId="4" xfId="0" applyFont="true" applyBorder="true" applyAlignment="true" applyProtection="false">
      <alignment horizontal="center" vertical="top" textRotation="0" wrapText="false" indent="0" shrinkToFit="false"/>
      <protection locked="true" hidden="false"/>
    </xf>
    <xf numFmtId="175" fontId="28" fillId="5" borderId="4" xfId="0" applyFont="true" applyBorder="true" applyAlignment="true" applyProtection="false">
      <alignment horizontal="center" vertical="center"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28" fillId="0" borderId="4" xfId="0" applyFont="true" applyBorder="true" applyAlignment="false" applyProtection="false">
      <alignment horizontal="general" vertical="bottom" textRotation="0" wrapText="false" indent="0" shrinkToFit="false"/>
      <protection locked="true" hidden="false"/>
    </xf>
    <xf numFmtId="169" fontId="28" fillId="0" borderId="4" xfId="0" applyFont="true" applyBorder="true" applyAlignment="false" applyProtection="false">
      <alignment horizontal="general" vertical="bottom" textRotation="0" wrapText="false" indent="0" shrinkToFit="false"/>
      <protection locked="true" hidden="false"/>
    </xf>
    <xf numFmtId="168" fontId="13" fillId="0" borderId="4" xfId="0" applyFont="true" applyBorder="true" applyAlignment="false" applyProtection="false">
      <alignment horizontal="general" vertical="bottom" textRotation="0" wrapText="false" indent="0" shrinkToFit="false"/>
      <protection locked="true" hidden="false"/>
    </xf>
    <xf numFmtId="170" fontId="28" fillId="5" borderId="4" xfId="0" applyFont="true" applyBorder="true" applyAlignment="true" applyProtection="false">
      <alignment horizontal="center" vertical="center" textRotation="0" wrapText="false" indent="0" shrinkToFit="false"/>
      <protection locked="true" hidden="false"/>
    </xf>
    <xf numFmtId="175" fontId="28" fillId="0" borderId="4" xfId="0" applyFont="true" applyBorder="true" applyAlignment="true" applyProtection="false">
      <alignment horizontal="right" vertical="center" textRotation="0" wrapText="false" indent="0" shrinkToFit="false"/>
      <protection locked="true" hidden="false"/>
    </xf>
    <xf numFmtId="169" fontId="13" fillId="0" borderId="4" xfId="0" applyFont="true" applyBorder="true" applyAlignment="true" applyProtection="false">
      <alignment horizontal="center" vertical="center" textRotation="0" wrapText="false" indent="0" shrinkToFit="false"/>
      <protection locked="true" hidden="false"/>
    </xf>
    <xf numFmtId="169" fontId="28" fillId="0" borderId="4" xfId="0" applyFont="true" applyBorder="true" applyAlignment="true" applyProtection="false">
      <alignment horizontal="center" vertical="center" textRotation="0" wrapText="false" indent="0" shrinkToFit="false"/>
      <protection locked="true" hidden="false"/>
    </xf>
    <xf numFmtId="176" fontId="28" fillId="0" borderId="4" xfId="0" applyFont="true" applyBorder="true" applyAlignment="true" applyProtection="false">
      <alignment horizontal="center" vertical="center" textRotation="0" wrapText="false" indent="0" shrinkToFit="false"/>
      <protection locked="true" hidden="false"/>
    </xf>
    <xf numFmtId="174" fontId="28" fillId="0" borderId="4" xfId="0" applyFont="true" applyBorder="true" applyAlignment="true" applyProtection="false">
      <alignment horizontal="center" vertical="center" textRotation="0" wrapText="false" indent="0" shrinkToFit="false"/>
      <protection locked="true" hidden="false"/>
    </xf>
    <xf numFmtId="170" fontId="28" fillId="0" borderId="4" xfId="0" applyFont="true" applyBorder="true" applyAlignment="true" applyProtection="false">
      <alignment horizontal="center" vertical="center" textRotation="0" wrapText="false" indent="0" shrinkToFit="false"/>
      <protection locked="true" hidden="false"/>
    </xf>
    <xf numFmtId="177" fontId="28" fillId="0" borderId="4"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8C4BA"/>
        </patternFill>
      </fill>
    </dxf>
    <dxf>
      <fill>
        <patternFill>
          <bgColor rgb="FFC9DBBE"/>
        </patternFill>
      </fill>
    </dxf>
    <dxf>
      <fill>
        <patternFill>
          <bgColor rgb="FFF3EFEA"/>
        </patternFill>
      </fill>
    </dxf>
    <dxf>
      <font>
        <name val="Times New Roman"/>
        <charset val="1"/>
        <family val="0"/>
        <b val="1"/>
        <color rgb="FFFFFFFF"/>
      </font>
      <fill>
        <patternFill>
          <bgColor rgb="FF63513D"/>
        </patternFill>
      </fill>
    </dxf>
    <dxf>
      <fill>
        <patternFill>
          <bgColor rgb="FFF2D5CC"/>
        </patternFill>
      </fill>
    </dxf>
    <dxf>
      <fill>
        <patternFill>
          <bgColor rgb="FFDCE6C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DBBE"/>
      <rgbColor rgb="FF8A857C"/>
      <rgbColor rgb="FF7C878E"/>
      <rgbColor rgb="FF993366"/>
      <rgbColor rgb="FFFFF2CC"/>
      <rgbColor rgb="FFF3EFEA"/>
      <rgbColor rgb="FF660066"/>
      <rgbColor rgb="FFFF8080"/>
      <rgbColor rgb="FF0066CC"/>
      <rgbColor rgb="FFD9D4CD"/>
      <rgbColor rgb="FF000080"/>
      <rgbColor rgb="FFFF00FF"/>
      <rgbColor rgb="FFFFFF00"/>
      <rgbColor rgb="FF00FFFF"/>
      <rgbColor rgb="FF800080"/>
      <rgbColor rgb="FF800000"/>
      <rgbColor rgb="FF008080"/>
      <rgbColor rgb="FF0000FF"/>
      <rgbColor rgb="FF00CCFF"/>
      <rgbColor rgb="FFE4DCD1"/>
      <rgbColor rgb="FFDCE6CF"/>
      <rgbColor rgb="FFF2D5CC"/>
      <rgbColor rgb="FF99CCFF"/>
      <rgbColor rgb="FFFF99CC"/>
      <rgbColor rgb="FFCC99FF"/>
      <rgbColor rgb="FFE8C4BA"/>
      <rgbColor rgb="FF3366FF"/>
      <rgbColor rgb="FF33CCCC"/>
      <rgbColor rgb="FF99CC00"/>
      <rgbColor rgb="FFFFCC00"/>
      <rgbColor rgb="FFFF9900"/>
      <rgbColor rgb="FFFF6600"/>
      <rgbColor rgb="FF6B675C"/>
      <rgbColor rgb="FFA38B6D"/>
      <rgbColor rgb="FF003366"/>
      <rgbColor rgb="FF339966"/>
      <rgbColor rgb="FF003300"/>
      <rgbColor rgb="FF333300"/>
      <rgbColor rgb="FF993300"/>
      <rgbColor rgb="FF993366"/>
      <rgbColor rgb="FF4B5C6B"/>
      <rgbColor rgb="FF635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Nestle_Data_Foundation.xlsx" TargetMode="External"/><Relationship Id="rId2" Type="http://schemas.openxmlformats.org/officeDocument/2006/relationships/hyperlink" Target="Nestle_Data_Foundation.xlsx" TargetMode="External"/><Relationship Id="rId3" Type="http://schemas.openxmlformats.org/officeDocument/2006/relationships/hyperlink" Target="Nestle_Data_Foundation.xlsx" TargetMode="External"/><Relationship Id="rId4" Type="http://schemas.openxmlformats.org/officeDocument/2006/relationships/hyperlink" Target="Nestle_Data_Foundation.xlsx" TargetMode="External"/><Relationship Id="rId5" Type="http://schemas.openxmlformats.org/officeDocument/2006/relationships/hyperlink" Target="Nestle_Data_Foundation.xlsx" TargetMode="External"/><Relationship Id="rId6" Type="http://schemas.openxmlformats.org/officeDocument/2006/relationships/hyperlink" Target="Nestle_Data_Foundation.xlsx" TargetMode="External"/><Relationship Id="rId7" Type="http://schemas.openxmlformats.org/officeDocument/2006/relationships/hyperlink" Target="Nestle_Data_Foundation.xlsx" TargetMode="External"/><Relationship Id="rId8" Type="http://schemas.openxmlformats.org/officeDocument/2006/relationships/hyperlink" Target="Nestle_Data_Foundation.xlsx" TargetMode="External"/><Relationship Id="rId9" Type="http://schemas.openxmlformats.org/officeDocument/2006/relationships/hyperlink" Target="Nestle_Data_Foundation.xlsx" TargetMode="External"/><Relationship Id="rId10" Type="http://schemas.openxmlformats.org/officeDocument/2006/relationships/hyperlink" Target="Nestle_Data_Foundation.xlsx" TargetMode="External"/><Relationship Id="rId11" Type="http://schemas.openxmlformats.org/officeDocument/2006/relationships/hyperlink" Target="Nestle_Data_Foundation.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13D"/>
    <pageSetUpPr fitToPage="true"/>
  </sheetPr>
  <dimension ref="B2:I4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9" min="2" style="0" width="17"/>
    <col collapsed="false" customWidth="true" hidden="false" outlineLevel="0" max="10" min="10" style="0" width="3"/>
  </cols>
  <sheetData>
    <row r="2" customFormat="false" ht="9.75" hidden="false" customHeight="true" outlineLevel="0" collapsed="false">
      <c r="B2" s="1"/>
      <c r="C2" s="1"/>
      <c r="D2" s="1"/>
      <c r="E2" s="1"/>
      <c r="F2" s="1"/>
      <c r="G2" s="1"/>
      <c r="H2" s="1"/>
      <c r="I2" s="1"/>
    </row>
    <row r="3" customFormat="false" ht="33.75" hidden="false" customHeight="true" outlineLevel="0" collapsed="false">
      <c r="B3" s="2" t="s">
        <v>0</v>
      </c>
      <c r="C3" s="1"/>
      <c r="D3" s="1"/>
      <c r="E3" s="1"/>
      <c r="F3" s="1"/>
      <c r="G3" s="1"/>
      <c r="H3" s="1"/>
      <c r="I3" s="1"/>
    </row>
    <row r="4" customFormat="false" ht="21.75" hidden="false" customHeight="true" outlineLevel="0" collapsed="false">
      <c r="B4" s="3" t="s">
        <v>1</v>
      </c>
      <c r="C4" s="1"/>
      <c r="D4" s="1"/>
      <c r="E4" s="1"/>
      <c r="F4" s="1"/>
      <c r="G4" s="1"/>
      <c r="H4" s="1"/>
      <c r="I4" s="1"/>
    </row>
    <row r="5" customFormat="false" ht="18" hidden="false" customHeight="true" outlineLevel="0" collapsed="false">
      <c r="B5" s="4" t="s">
        <v>2</v>
      </c>
      <c r="C5" s="1"/>
      <c r="D5" s="1"/>
      <c r="E5" s="1"/>
      <c r="F5" s="1"/>
      <c r="G5" s="1"/>
      <c r="H5" s="1"/>
      <c r="I5" s="1"/>
    </row>
    <row r="6" customFormat="false" ht="9.75" hidden="false" customHeight="true" outlineLevel="0" collapsed="false">
      <c r="B6" s="1"/>
      <c r="C6" s="1"/>
      <c r="D6" s="1"/>
      <c r="E6" s="1"/>
      <c r="F6" s="1"/>
      <c r="G6" s="1"/>
      <c r="H6" s="1"/>
      <c r="I6" s="1"/>
    </row>
    <row r="7" customFormat="false" ht="7.5" hidden="false" customHeight="true" outlineLevel="0" collapsed="false"/>
    <row r="8" customFormat="false" ht="15" hidden="false" customHeight="false" outlineLevel="0" collapsed="false">
      <c r="B8" s="5" t="s">
        <v>3</v>
      </c>
      <c r="C8" s="6"/>
      <c r="D8" s="6"/>
      <c r="E8" s="7" t="s">
        <v>4</v>
      </c>
      <c r="F8" s="6"/>
      <c r="G8" s="6"/>
      <c r="H8" s="6"/>
      <c r="I8" s="6"/>
    </row>
    <row r="9" customFormat="false" ht="13.5" hidden="false" customHeight="true" outlineLevel="0" collapsed="false"/>
    <row r="10" customFormat="false" ht="19.5" hidden="false" customHeight="true" outlineLevel="0" collapsed="false">
      <c r="B10" s="8" t="s">
        <v>5</v>
      </c>
    </row>
    <row r="11" customFormat="false" ht="18" hidden="false" customHeight="true" outlineLevel="0" collapsed="false">
      <c r="B11" s="9" t="s">
        <v>6</v>
      </c>
      <c r="C11" s="9"/>
      <c r="D11" s="9" t="s">
        <v>7</v>
      </c>
      <c r="E11" s="9"/>
      <c r="F11" s="9" t="s">
        <v>8</v>
      </c>
      <c r="G11" s="9"/>
      <c r="H11" s="9" t="s">
        <v>9</v>
      </c>
      <c r="I11" s="9"/>
    </row>
    <row r="12" customFormat="false" ht="30" hidden="false" customHeight="true" outlineLevel="0" collapsed="false">
      <c r="B12" s="10" t="n">
        <f aca="false">'3. Variance_Analysis'!C16</f>
        <v>89490</v>
      </c>
      <c r="C12" s="10"/>
      <c r="D12" s="11" t="n">
        <f aca="false">'3. Variance_Analysis'!C8</f>
        <v>0.035</v>
      </c>
      <c r="E12" s="11"/>
      <c r="F12" s="12" t="n">
        <f aca="false">'3. Variance_Analysis'!C10</f>
        <v>-0.057</v>
      </c>
      <c r="G12" s="12"/>
      <c r="H12" s="11" t="n">
        <f aca="false">'3. Variance_Analysis'!C37</f>
        <v>0.160788914962566</v>
      </c>
      <c r="I12" s="11"/>
    </row>
    <row r="13" customFormat="false" ht="15.75" hidden="false" customHeight="true" outlineLevel="0" collapsed="false">
      <c r="B13" s="13" t="str">
        <f aca="false">"Budget "&amp;TEXT('3. Variance_Analysis'!B16,"#,##0")&amp;"  ·  Var "&amp;TEXT('3. Variance_Analysis'!E16,"+0.0%;-0.0%")</f>
        <v>Budget 94,095  ·  Var -4.9%</v>
      </c>
      <c r="C13" s="13"/>
      <c r="D13" s="13" t="str">
        <f aca="false">"Budget "&amp;TEXT('3. Variance_Analysis'!B8,"0.0%")&amp;"  ·  Var "&amp;TEXT('3. Variance_Analysis'!D8,"+0;-0")&amp;" bps"</f>
        <v>Budget 3.0%  ·  Var +50 bps</v>
      </c>
      <c r="E13" s="13"/>
      <c r="F13" s="13" t="str">
        <f aca="false">"Budget "&amp;TEXT('3. Variance_Analysis'!B10,"0.0%")&amp;"  ·  Var "&amp;TEXT('3. Variance_Analysis'!D10,"+0;-0")&amp;" bps"</f>
        <v>Budget 0.0%  ·  Var -570 bps</v>
      </c>
      <c r="G13" s="13"/>
      <c r="H13" s="13" t="str">
        <f aca="false">"Budget "&amp;TEXT('3. Variance_Analysis'!B37,"0.0%")&amp;"  ·  Var "&amp;TEXT('3. Variance_Analysis'!D37,"+0;-0")&amp;" bps"</f>
        <v>Budget 16.6%  ·  Var -52 bps</v>
      </c>
      <c r="I13" s="13"/>
    </row>
    <row r="14" customFormat="false" ht="6" hidden="false" customHeight="true" outlineLevel="0" collapsed="false">
      <c r="B14" s="14"/>
      <c r="C14" s="14"/>
      <c r="D14" s="14"/>
      <c r="E14" s="14"/>
      <c r="F14" s="14"/>
      <c r="G14" s="14"/>
      <c r="H14" s="14"/>
      <c r="I14" s="14"/>
    </row>
    <row r="15" customFormat="false" ht="9.75" hidden="false" customHeight="true" outlineLevel="0" collapsed="false"/>
    <row r="16" customFormat="false" ht="18" hidden="false" customHeight="true" outlineLevel="0" collapsed="false">
      <c r="B16" s="9" t="s">
        <v>10</v>
      </c>
      <c r="C16" s="9"/>
      <c r="D16" s="9" t="s">
        <v>11</v>
      </c>
      <c r="E16" s="9"/>
      <c r="F16" s="9" t="s">
        <v>12</v>
      </c>
      <c r="G16" s="9"/>
      <c r="H16" s="9" t="s">
        <v>13</v>
      </c>
      <c r="I16" s="9"/>
    </row>
    <row r="17" customFormat="false" ht="30" hidden="false" customHeight="true" outlineLevel="0" collapsed="false">
      <c r="B17" s="10" t="n">
        <f aca="false">'3. Variance_Analysis'!C35</f>
        <v>9033</v>
      </c>
      <c r="C17" s="10"/>
      <c r="D17" s="15" t="n">
        <f aca="false">'3. Variance_Analysis'!C43</f>
        <v>3.51</v>
      </c>
      <c r="E17" s="15"/>
      <c r="F17" s="10" t="n">
        <f aca="false">'3. Variance_Analysis'!C62</f>
        <v>15904</v>
      </c>
      <c r="G17" s="10"/>
      <c r="H17" s="10" t="n">
        <f aca="false">'3. Variance_Analysis'!C90</f>
        <v>9154</v>
      </c>
      <c r="I17" s="10"/>
    </row>
    <row r="18" customFormat="false" ht="15.75" hidden="false" customHeight="true" outlineLevel="0" collapsed="false">
      <c r="B18" s="13" t="str">
        <f aca="false">"Budget "&amp;TEXT('3. Variance_Analysis'!B35,"#,##0")&amp;"  ·  Var "&amp;TEXT('3. Variance_Analysis'!E35,"+0.0%;-0.0%")</f>
        <v>Budget 10,608  ·  Var -14.8%</v>
      </c>
      <c r="C18" s="13"/>
      <c r="D18" s="13" t="str">
        <f aca="false">"Budget "&amp;TEXT('3. Variance_Analysis'!B43,"0.00")&amp;"  ·  Var "&amp;TEXT('3. Variance_Analysis'!E43,"+0.0%;-0.0%")</f>
        <v>Budget 4.15  ·  Var -15.5%</v>
      </c>
      <c r="E18" s="13"/>
      <c r="F18" s="13" t="str">
        <f aca="false">"Budget "&amp;TEXT('3. Variance_Analysis'!B62,"#,##0")&amp;"  ·  Var "&amp;TEXT('3. Variance_Analysis'!E62,"+0.0%;-0.0%")</f>
        <v>Budget 15,666  ·  Var +1.5%</v>
      </c>
      <c r="G18" s="13"/>
      <c r="H18" s="13" t="str">
        <f aca="false">"Budget "&amp;TEXT('3. Variance_Analysis'!B90,"#,##0")&amp;"  ·  Var "&amp;TEXT('3. Variance_Analysis'!E90,"+0.0%;-0.0%")</f>
        <v>Budget 9,455  ·  Var -3.2%</v>
      </c>
      <c r="I18" s="13"/>
    </row>
    <row r="19" customFormat="false" ht="6" hidden="false" customHeight="true" outlineLevel="0" collapsed="false">
      <c r="B19" s="14"/>
      <c r="C19" s="14"/>
      <c r="D19" s="14"/>
      <c r="E19" s="14"/>
      <c r="F19" s="14"/>
      <c r="G19" s="14"/>
      <c r="H19" s="14"/>
      <c r="I19" s="14"/>
    </row>
    <row r="20" customFormat="false" ht="9.75" hidden="false" customHeight="true" outlineLevel="0" collapsed="false"/>
    <row r="21" customFormat="false" ht="15" hidden="false" customHeight="false" outlineLevel="0" collapsed="false">
      <c r="B21" s="8" t="s">
        <v>14</v>
      </c>
    </row>
    <row r="22" customFormat="false" ht="61.5" hidden="false" customHeight="true" outlineLevel="0" collapsed="false">
      <c r="B22" s="16" t="s">
        <v>15</v>
      </c>
      <c r="C22" s="16"/>
      <c r="D22" s="16"/>
      <c r="E22" s="16"/>
      <c r="F22" s="16"/>
      <c r="G22" s="16"/>
      <c r="H22" s="16"/>
      <c r="I22" s="16"/>
    </row>
    <row r="23" customFormat="false" ht="12" hidden="false" customHeight="true" outlineLevel="0" collapsed="false"/>
    <row r="24" customFormat="false" ht="15" hidden="false" customHeight="false" outlineLevel="0" collapsed="false">
      <c r="B24" s="8" t="s">
        <v>16</v>
      </c>
    </row>
    <row r="25" customFormat="false" ht="15" hidden="false" customHeight="false" outlineLevel="0" collapsed="false">
      <c r="B25" s="17" t="s">
        <v>17</v>
      </c>
      <c r="C25" s="18" t="s">
        <v>18</v>
      </c>
      <c r="D25" s="18"/>
      <c r="E25" s="18" t="s">
        <v>19</v>
      </c>
      <c r="F25" s="18"/>
      <c r="G25" s="18"/>
      <c r="H25" s="18"/>
      <c r="I25" s="18"/>
    </row>
    <row r="26" customFormat="false" ht="18" hidden="false" customHeight="true" outlineLevel="0" collapsed="false">
      <c r="B26" s="19" t="s">
        <v>20</v>
      </c>
      <c r="C26" s="20" t="s">
        <v>21</v>
      </c>
      <c r="D26" s="20"/>
      <c r="E26" s="21" t="s">
        <v>22</v>
      </c>
      <c r="F26" s="21"/>
      <c r="G26" s="21"/>
      <c r="H26" s="21"/>
      <c r="I26" s="21"/>
    </row>
    <row r="27" customFormat="false" ht="18" hidden="false" customHeight="true" outlineLevel="0" collapsed="false">
      <c r="B27" s="19" t="s">
        <v>23</v>
      </c>
      <c r="C27" s="20" t="s">
        <v>24</v>
      </c>
      <c r="D27" s="20"/>
      <c r="E27" s="21" t="s">
        <v>25</v>
      </c>
      <c r="F27" s="21"/>
      <c r="G27" s="21"/>
      <c r="H27" s="21"/>
      <c r="I27" s="21"/>
    </row>
    <row r="28" customFormat="false" ht="18" hidden="false" customHeight="true" outlineLevel="0" collapsed="false">
      <c r="B28" s="19" t="s">
        <v>23</v>
      </c>
      <c r="C28" s="20" t="s">
        <v>26</v>
      </c>
      <c r="D28" s="20"/>
      <c r="E28" s="21" t="s">
        <v>27</v>
      </c>
      <c r="F28" s="21"/>
      <c r="G28" s="21"/>
      <c r="H28" s="21"/>
      <c r="I28" s="21"/>
    </row>
    <row r="29" customFormat="false" ht="18" hidden="false" customHeight="true" outlineLevel="0" collapsed="false">
      <c r="B29" s="19" t="s">
        <v>23</v>
      </c>
      <c r="C29" s="20" t="s">
        <v>28</v>
      </c>
      <c r="D29" s="20"/>
      <c r="E29" s="21" t="s">
        <v>29</v>
      </c>
      <c r="F29" s="21"/>
      <c r="G29" s="21"/>
      <c r="H29" s="21"/>
      <c r="I29" s="21"/>
    </row>
    <row r="30" customFormat="false" ht="18" hidden="false" customHeight="true" outlineLevel="0" collapsed="false">
      <c r="B30" s="19" t="s">
        <v>23</v>
      </c>
      <c r="C30" s="20" t="s">
        <v>30</v>
      </c>
      <c r="D30" s="20"/>
      <c r="E30" s="21" t="s">
        <v>31</v>
      </c>
      <c r="F30" s="21"/>
      <c r="G30" s="21"/>
      <c r="H30" s="21"/>
      <c r="I30" s="21"/>
    </row>
    <row r="31" customFormat="false" ht="18" hidden="false" customHeight="true" outlineLevel="0" collapsed="false">
      <c r="B31" s="19" t="s">
        <v>32</v>
      </c>
      <c r="C31" s="20" t="s">
        <v>33</v>
      </c>
      <c r="D31" s="20"/>
      <c r="E31" s="21" t="s">
        <v>34</v>
      </c>
      <c r="F31" s="21"/>
      <c r="G31" s="21"/>
      <c r="H31" s="21"/>
      <c r="I31" s="21"/>
    </row>
    <row r="32" customFormat="false" ht="18" hidden="false" customHeight="true" outlineLevel="0" collapsed="false">
      <c r="B32" s="19" t="s">
        <v>32</v>
      </c>
      <c r="C32" s="20" t="s">
        <v>35</v>
      </c>
      <c r="D32" s="20"/>
      <c r="E32" s="21" t="s">
        <v>36</v>
      </c>
      <c r="F32" s="21"/>
      <c r="G32" s="21"/>
      <c r="H32" s="21"/>
      <c r="I32" s="21"/>
    </row>
    <row r="33" customFormat="false" ht="18" hidden="false" customHeight="true" outlineLevel="0" collapsed="false">
      <c r="B33" s="19" t="s">
        <v>37</v>
      </c>
      <c r="C33" s="20" t="s">
        <v>38</v>
      </c>
      <c r="D33" s="20"/>
      <c r="E33" s="21" t="s">
        <v>39</v>
      </c>
      <c r="F33" s="21"/>
      <c r="G33" s="21"/>
      <c r="H33" s="21"/>
      <c r="I33" s="21"/>
    </row>
    <row r="34" customFormat="false" ht="18" hidden="false" customHeight="true" outlineLevel="0" collapsed="false">
      <c r="B34" s="19" t="s">
        <v>40</v>
      </c>
      <c r="C34" s="20" t="s">
        <v>41</v>
      </c>
      <c r="D34" s="20"/>
      <c r="E34" s="21" t="s">
        <v>42</v>
      </c>
      <c r="F34" s="21"/>
      <c r="G34" s="21"/>
      <c r="H34" s="21"/>
      <c r="I34" s="21"/>
    </row>
    <row r="35" customFormat="false" ht="18" hidden="false" customHeight="true" outlineLevel="0" collapsed="false">
      <c r="B35" s="19" t="s">
        <v>40</v>
      </c>
      <c r="C35" s="20" t="s">
        <v>43</v>
      </c>
      <c r="D35" s="20"/>
      <c r="E35" s="21" t="s">
        <v>44</v>
      </c>
      <c r="F35" s="21"/>
      <c r="G35" s="21"/>
      <c r="H35" s="21"/>
      <c r="I35" s="21"/>
    </row>
    <row r="36" customFormat="false" ht="18" hidden="false" customHeight="true" outlineLevel="0" collapsed="false">
      <c r="B36" s="19" t="s">
        <v>40</v>
      </c>
      <c r="C36" s="20" t="s">
        <v>45</v>
      </c>
      <c r="D36" s="20"/>
      <c r="E36" s="21" t="s">
        <v>46</v>
      </c>
      <c r="F36" s="21"/>
      <c r="G36" s="21"/>
      <c r="H36" s="21"/>
      <c r="I36" s="21"/>
    </row>
    <row r="38" customFormat="false" ht="15" hidden="false" customHeight="false" outlineLevel="0" collapsed="false">
      <c r="B38" s="22" t="s">
        <v>47</v>
      </c>
      <c r="C38" s="23" t="s">
        <v>48</v>
      </c>
      <c r="E38" s="24" t="s">
        <v>49</v>
      </c>
      <c r="F38" s="25" t="s">
        <v>50</v>
      </c>
      <c r="H38" s="26" t="s">
        <v>51</v>
      </c>
      <c r="I38" s="26"/>
    </row>
    <row r="40" customFormat="false" ht="36" hidden="false" customHeight="true" outlineLevel="0" collapsed="false">
      <c r="B40" s="27" t="s">
        <v>52</v>
      </c>
      <c r="C40" s="27"/>
      <c r="D40" s="27"/>
      <c r="E40" s="27"/>
      <c r="F40" s="27"/>
      <c r="G40" s="27"/>
      <c r="H40" s="27"/>
      <c r="I40" s="27"/>
    </row>
  </sheetData>
  <mergeCells count="59">
    <mergeCell ref="B11:C11"/>
    <mergeCell ref="D11:E11"/>
    <mergeCell ref="F11:G11"/>
    <mergeCell ref="H11:I11"/>
    <mergeCell ref="B12:C12"/>
    <mergeCell ref="D12:E12"/>
    <mergeCell ref="F12:G12"/>
    <mergeCell ref="H12:I12"/>
    <mergeCell ref="B13:C13"/>
    <mergeCell ref="D13:E13"/>
    <mergeCell ref="F13:G13"/>
    <mergeCell ref="H13:I13"/>
    <mergeCell ref="B14:C14"/>
    <mergeCell ref="D14:E14"/>
    <mergeCell ref="F14:G14"/>
    <mergeCell ref="H14:I14"/>
    <mergeCell ref="B16:C16"/>
    <mergeCell ref="D16:E16"/>
    <mergeCell ref="F16:G16"/>
    <mergeCell ref="H16:I16"/>
    <mergeCell ref="B17:C17"/>
    <mergeCell ref="D17:E17"/>
    <mergeCell ref="F17:G17"/>
    <mergeCell ref="H17:I17"/>
    <mergeCell ref="B18:C18"/>
    <mergeCell ref="D18:E18"/>
    <mergeCell ref="F18:G18"/>
    <mergeCell ref="H18:I18"/>
    <mergeCell ref="B19:C19"/>
    <mergeCell ref="D19:E19"/>
    <mergeCell ref="F19:G19"/>
    <mergeCell ref="H19:I19"/>
    <mergeCell ref="B22:I22"/>
    <mergeCell ref="C25:D25"/>
    <mergeCell ref="E25:I25"/>
    <mergeCell ref="C26:D26"/>
    <mergeCell ref="E26:I26"/>
    <mergeCell ref="C27:D27"/>
    <mergeCell ref="E27:I27"/>
    <mergeCell ref="C28:D28"/>
    <mergeCell ref="E28:I28"/>
    <mergeCell ref="C29:D29"/>
    <mergeCell ref="E29:I29"/>
    <mergeCell ref="C30:D30"/>
    <mergeCell ref="E30:I30"/>
    <mergeCell ref="C31:D31"/>
    <mergeCell ref="E31:I31"/>
    <mergeCell ref="C32:D32"/>
    <mergeCell ref="E32:I32"/>
    <mergeCell ref="C33:D33"/>
    <mergeCell ref="E33:I33"/>
    <mergeCell ref="C34:D34"/>
    <mergeCell ref="E34:I34"/>
    <mergeCell ref="C35:D35"/>
    <mergeCell ref="E35:I35"/>
    <mergeCell ref="C36:D36"/>
    <mergeCell ref="E36:I36"/>
    <mergeCell ref="H38:I38"/>
    <mergeCell ref="B40:I40"/>
  </mergeCells>
  <hyperlinks>
    <hyperlink ref="C26" r:id="rId1" location="'README'!A1" display="README"/>
    <hyperlink ref="C27" r:id="rId2" location="'1.%20Segment_Data'!A1" display="1. Segment_Data"/>
    <hyperlink ref="C28" r:id="rId3" location="'1.%20Category_Data'!A1" display="1. Category_Data"/>
    <hyperlink ref="C29" r:id="rId4" location="'1.%20Income_Statement'!A1" display="1. Income_Statement"/>
    <hyperlink ref="C30" r:id="rId5" location="'1.%20Cash_Flow_Statement'!A1" display="1. Cash_Flow_Statement"/>
    <hyperlink ref="C31" r:id="rId6" location="'2.%20Assumptions_FY2025'!A1" display="2. Assumptions_FY2025"/>
    <hyperlink ref="C32" r:id="rId7" location="'2.%20Budget_FY2025_PL_CF'!A1" display="2. Budget_FY2025_PL_CF"/>
    <hyperlink ref="C33" r:id="rId8" location="'3.%20Variance_Analysis'!A1" display="3. Variance_Analysis"/>
    <hyperlink ref="C34" r:id="rId9" location="'4.%20Assumptions_FY2026'!A1" display="4. Assumptions_FY2026"/>
    <hyperlink ref="C35" r:id="rId10" location="'4.%20Reforecast_FY2026'!A1" display="4. Reforecast_FY2026"/>
    <hyperlink ref="C36" r:id="rId11" location="'4.%20Sensitivity_FY2026'!A1" display="4. Sensitivity_FY2026"/>
  </hyperlinks>
  <printOptions headings="false" gridLines="false" gridLinesSet="true" horizontalCentered="true" verticalCentered="false"/>
  <pageMargins left="0.4" right="0.4" top="0.8" bottom="0.8" header="0.511811023622047" footer="0.3"/>
  <pageSetup paperSize="9" scale="100" fitToWidth="1" fitToHeight="1" pageOrder="downThenOver" orientation="landscape" blackAndWhite="false" draft="false" cellComments="none" horizontalDpi="300" verticalDpi="300" copies="1"/>
  <headerFooter differentFirst="false" differentOddEven="false">
    <oddHeader/>
    <oddFooter>&amp;L&amp;"Times New Roman,Regular"&amp;8 Prepared by Thanh Vinh Dang · Source: Nestlé public disclosures&amp;R&amp;"Times New Roman,Regular"&amp;8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35"/>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A23" activeCellId="0" sqref="A23"/>
    </sheetView>
  </sheetViews>
  <sheetFormatPr defaultColWidth="8.71484375" defaultRowHeight="14.25" zeroHeight="false" outlineLevelRow="0" outlineLevelCol="0"/>
  <cols>
    <col collapsed="false" customWidth="true" hidden="false" outlineLevel="0" max="1" min="1" style="28" width="140"/>
    <col collapsed="false" customWidth="false" hidden="false" outlineLevel="0" max="16384" min="2" style="28" width="8.71"/>
  </cols>
  <sheetData>
    <row r="1" customFormat="false" ht="17.25" hidden="false" customHeight="true" outlineLevel="0" collapsed="false">
      <c r="A1" s="29" t="s">
        <v>53</v>
      </c>
    </row>
    <row r="2" customFormat="false" ht="14.25" hidden="false" customHeight="true" outlineLevel="0" collapsed="false">
      <c r="A2" s="30"/>
    </row>
    <row r="3" customFormat="false" ht="16.5" hidden="false" customHeight="true" outlineLevel="0" collapsed="false">
      <c r="A3" s="31" t="s">
        <v>54</v>
      </c>
    </row>
    <row r="4" customFormat="false" ht="57" hidden="false" customHeight="true" outlineLevel="0" collapsed="false">
      <c r="A4" s="32" t="s">
        <v>55</v>
      </c>
    </row>
    <row r="5" customFormat="false" ht="14.25" hidden="false" customHeight="true" outlineLevel="0" collapsed="false">
      <c r="A5" s="30"/>
    </row>
    <row r="6" customFormat="false" ht="16.5" hidden="false" customHeight="true" outlineLevel="0" collapsed="false">
      <c r="A6" s="31" t="s">
        <v>56</v>
      </c>
    </row>
    <row r="7" customFormat="false" ht="30" hidden="false" customHeight="true" outlineLevel="0" collapsed="false">
      <c r="A7" s="32" t="s">
        <v>57</v>
      </c>
    </row>
    <row r="8" customFormat="false" ht="30" hidden="false" customHeight="true" outlineLevel="0" collapsed="false">
      <c r="A8" s="32" t="s">
        <v>58</v>
      </c>
    </row>
    <row r="9" customFormat="false" ht="43.5" hidden="false" customHeight="true" outlineLevel="0" collapsed="false">
      <c r="A9" s="32" t="s">
        <v>59</v>
      </c>
    </row>
    <row r="10" customFormat="false" ht="30" hidden="false" customHeight="true" outlineLevel="0" collapsed="false">
      <c r="A10" s="32" t="s">
        <v>60</v>
      </c>
    </row>
    <row r="11" customFormat="false" ht="57" hidden="false" customHeight="true" outlineLevel="0" collapsed="false">
      <c r="A11" s="32" t="s">
        <v>61</v>
      </c>
    </row>
    <row r="12" customFormat="false" ht="43.5" hidden="false" customHeight="true" outlineLevel="0" collapsed="false">
      <c r="A12" s="32" t="s">
        <v>62</v>
      </c>
    </row>
    <row r="13" customFormat="false" ht="57" hidden="false" customHeight="true" outlineLevel="0" collapsed="false">
      <c r="A13" s="32" t="s">
        <v>63</v>
      </c>
    </row>
    <row r="14" customFormat="false" ht="43.5" hidden="false" customHeight="true" outlineLevel="0" collapsed="false">
      <c r="A14" s="32" t="s">
        <v>64</v>
      </c>
    </row>
    <row r="15" customFormat="false" ht="16.5" hidden="false" customHeight="true" outlineLevel="0" collapsed="false">
      <c r="A15" s="32" t="s">
        <v>65</v>
      </c>
    </row>
    <row r="16" customFormat="false" ht="43.5" hidden="false" customHeight="true" outlineLevel="0" collapsed="false">
      <c r="A16" s="32" t="s">
        <v>66</v>
      </c>
    </row>
    <row r="17" customFormat="false" ht="14.25" hidden="false" customHeight="true" outlineLevel="0" collapsed="false">
      <c r="A17" s="30"/>
    </row>
    <row r="18" customFormat="false" ht="16.5" hidden="false" customHeight="true" outlineLevel="0" collapsed="false">
      <c r="A18" s="31" t="s">
        <v>67</v>
      </c>
    </row>
    <row r="19" customFormat="false" ht="30" hidden="false" customHeight="true" outlineLevel="0" collapsed="false">
      <c r="A19" s="32" t="s">
        <v>68</v>
      </c>
    </row>
    <row r="20" customFormat="false" ht="30" hidden="false" customHeight="true" outlineLevel="0" collapsed="false">
      <c r="A20" s="32" t="s">
        <v>69</v>
      </c>
    </row>
    <row r="21" customFormat="false" ht="43.5" hidden="false" customHeight="true" outlineLevel="0" collapsed="false">
      <c r="A21" s="32" t="s">
        <v>70</v>
      </c>
    </row>
    <row r="22" customFormat="false" ht="30" hidden="false" customHeight="true" outlineLevel="0" collapsed="false">
      <c r="A22" s="32" t="s">
        <v>71</v>
      </c>
    </row>
    <row r="23" customFormat="false" ht="30" hidden="false" customHeight="true" outlineLevel="0" collapsed="false">
      <c r="A23" s="32" t="s">
        <v>72</v>
      </c>
    </row>
    <row r="24" customFormat="false" ht="30" hidden="false" customHeight="true" outlineLevel="0" collapsed="false">
      <c r="A24" s="32" t="s">
        <v>73</v>
      </c>
    </row>
    <row r="25" customFormat="false" ht="30" hidden="false" customHeight="true" outlineLevel="0" collapsed="false">
      <c r="A25" s="32" t="s">
        <v>74</v>
      </c>
    </row>
    <row r="26" customFormat="false" ht="30" hidden="false" customHeight="true" outlineLevel="0" collapsed="false">
      <c r="A26" s="32" t="s">
        <v>75</v>
      </c>
    </row>
    <row r="27" customFormat="false" ht="14.25" hidden="false" customHeight="true" outlineLevel="0" collapsed="false">
      <c r="A27" s="30"/>
    </row>
    <row r="28" customFormat="false" ht="16.5" hidden="false" customHeight="true" outlineLevel="0" collapsed="false">
      <c r="A28" s="31" t="s">
        <v>76</v>
      </c>
    </row>
    <row r="29" customFormat="false" ht="43.5" hidden="false" customHeight="true" outlineLevel="0" collapsed="false">
      <c r="A29" s="32" t="s">
        <v>77</v>
      </c>
    </row>
    <row r="30" customFormat="false" ht="43.5" hidden="false" customHeight="true" outlineLevel="0" collapsed="false">
      <c r="A30" s="32" t="s">
        <v>78</v>
      </c>
    </row>
    <row r="31" customFormat="false" ht="16.5" hidden="false" customHeight="true" outlineLevel="0" collapsed="false">
      <c r="A31" s="32" t="s">
        <v>79</v>
      </c>
    </row>
    <row r="32" customFormat="false" ht="43.5" hidden="false" customHeight="true" outlineLevel="0" collapsed="false">
      <c r="A32" s="32" t="s">
        <v>80</v>
      </c>
    </row>
    <row r="33" customFormat="false" ht="30" hidden="false" customHeight="true" outlineLevel="0" collapsed="false">
      <c r="A33" s="32" t="s">
        <v>81</v>
      </c>
    </row>
    <row r="34" customFormat="false" ht="57" hidden="false" customHeight="true" outlineLevel="0" collapsed="false">
      <c r="A34" s="32" t="s">
        <v>82</v>
      </c>
    </row>
    <row r="35" customFormat="false" ht="14.25" hidden="false" customHeight="true" outlineLevel="0" collapsed="false">
      <c r="A35" s="32"/>
    </row>
  </sheetData>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13D"/>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H4" activePane="bottomRight" state="frozen"/>
      <selection pane="topLeft" activeCell="A1" activeCellId="0" sqref="A1"/>
      <selection pane="topRight" activeCell="H1" activeCellId="0" sqref="H1"/>
      <selection pane="bottomLeft" activeCell="A4" activeCellId="0" sqref="A4"/>
      <selection pane="bottomRight" activeCell="A5" activeCellId="0" sqref="A5"/>
    </sheetView>
  </sheetViews>
  <sheetFormatPr defaultColWidth="8.71484375" defaultRowHeight="15" zeroHeight="false" outlineLevelRow="0" outlineLevelCol="0"/>
  <cols>
    <col collapsed="false" customWidth="true" hidden="false" outlineLevel="0" max="1" min="1" style="33" width="22"/>
    <col collapsed="false" customWidth="true" hidden="false" outlineLevel="0" max="26" min="2" style="33" width="13"/>
  </cols>
  <sheetData>
    <row r="1" customFormat="false" ht="17.25" hidden="false" customHeight="true" outlineLevel="0" collapsed="false">
      <c r="A1" s="29" t="s">
        <v>83</v>
      </c>
      <c r="B1" s="29"/>
      <c r="C1" s="29"/>
      <c r="D1" s="29"/>
      <c r="E1" s="29"/>
      <c r="F1" s="29"/>
      <c r="G1" s="29"/>
      <c r="H1" s="29"/>
      <c r="I1" s="29"/>
      <c r="J1" s="29"/>
      <c r="K1" s="29"/>
      <c r="L1" s="29"/>
      <c r="M1" s="29"/>
      <c r="N1" s="29"/>
      <c r="O1" s="29"/>
      <c r="P1" s="29"/>
      <c r="Q1" s="29"/>
      <c r="R1" s="29"/>
      <c r="S1" s="29"/>
      <c r="T1" s="29"/>
      <c r="U1" s="29"/>
      <c r="V1" s="29"/>
      <c r="W1" s="29"/>
      <c r="X1" s="29"/>
      <c r="Y1" s="29"/>
      <c r="Z1" s="29"/>
    </row>
    <row r="2" customFormat="false" ht="15" hidden="false" customHeight="true" outlineLevel="0" collapsed="false">
      <c r="A2" s="30"/>
      <c r="B2" s="30"/>
      <c r="C2" s="30"/>
      <c r="D2" s="30"/>
      <c r="E2" s="30"/>
      <c r="F2" s="30"/>
      <c r="G2" s="30"/>
      <c r="H2" s="30"/>
      <c r="I2" s="30"/>
      <c r="J2" s="30"/>
      <c r="K2" s="30"/>
      <c r="L2" s="30"/>
      <c r="M2" s="30"/>
      <c r="N2" s="30"/>
      <c r="O2" s="30"/>
      <c r="P2" s="30"/>
      <c r="Q2" s="30"/>
      <c r="R2" s="30"/>
      <c r="S2" s="30"/>
      <c r="T2" s="30"/>
      <c r="U2" s="30"/>
      <c r="V2" s="30"/>
      <c r="W2" s="30"/>
      <c r="X2" s="30"/>
      <c r="Y2" s="30"/>
      <c r="Z2" s="30"/>
    </row>
    <row r="3" customFormat="false" ht="30" hidden="false" customHeight="true" outlineLevel="0" collapsed="false">
      <c r="A3" s="18" t="s">
        <v>84</v>
      </c>
      <c r="B3" s="34" t="s">
        <v>85</v>
      </c>
      <c r="C3" s="34" t="s">
        <v>86</v>
      </c>
      <c r="D3" s="34" t="s">
        <v>87</v>
      </c>
      <c r="E3" s="34" t="s">
        <v>88</v>
      </c>
      <c r="F3" s="34" t="s">
        <v>89</v>
      </c>
      <c r="G3" s="34" t="s">
        <v>90</v>
      </c>
      <c r="H3" s="34" t="s">
        <v>91</v>
      </c>
      <c r="I3" s="34" t="s">
        <v>92</v>
      </c>
      <c r="J3" s="34" t="s">
        <v>93</v>
      </c>
      <c r="K3" s="34" t="s">
        <v>94</v>
      </c>
      <c r="L3" s="34" t="s">
        <v>95</v>
      </c>
      <c r="M3" s="34" t="s">
        <v>96</v>
      </c>
      <c r="N3" s="34" t="s">
        <v>97</v>
      </c>
      <c r="O3" s="34" t="s">
        <v>98</v>
      </c>
      <c r="P3" s="34" t="s">
        <v>99</v>
      </c>
      <c r="Q3" s="34" t="s">
        <v>100</v>
      </c>
      <c r="R3" s="34" t="s">
        <v>101</v>
      </c>
      <c r="S3" s="34" t="s">
        <v>102</v>
      </c>
      <c r="T3" s="34" t="s">
        <v>103</v>
      </c>
      <c r="U3" s="34" t="s">
        <v>104</v>
      </c>
      <c r="V3" s="34" t="s">
        <v>105</v>
      </c>
      <c r="W3" s="34" t="s">
        <v>106</v>
      </c>
      <c r="X3" s="34" t="s">
        <v>107</v>
      </c>
      <c r="Y3" s="34" t="s">
        <v>108</v>
      </c>
      <c r="Z3" s="34" t="s">
        <v>109</v>
      </c>
    </row>
    <row r="4" customFormat="false" ht="15" hidden="false" customHeight="true" outlineLevel="0" collapsed="false">
      <c r="A4" s="35" t="s">
        <v>110</v>
      </c>
      <c r="B4" s="36" t="n">
        <v>23693</v>
      </c>
      <c r="C4" s="36" t="n">
        <v>26328</v>
      </c>
      <c r="D4" s="36" t="n">
        <v>25995</v>
      </c>
      <c r="E4" s="36" t="n">
        <v>25336</v>
      </c>
      <c r="F4" s="37" t="n">
        <f aca="false">IFERROR(C4/B4-1,"")</f>
        <v>0.111214282699531</v>
      </c>
      <c r="G4" s="37" t="n">
        <f aca="false">IFERROR(D4/C4-1,"")</f>
        <v>-0.0126481312670921</v>
      </c>
      <c r="H4" s="37" t="n">
        <f aca="false">IFERROR(E4/D4-1,"")</f>
        <v>-0.025351029044047</v>
      </c>
      <c r="I4" s="36" t="n">
        <v>4804</v>
      </c>
      <c r="J4" s="36" t="n">
        <v>5528</v>
      </c>
      <c r="K4" s="36" t="n">
        <v>5768</v>
      </c>
      <c r="L4" s="36" t="n">
        <v>5640</v>
      </c>
      <c r="M4" s="37" t="n">
        <f aca="false">IFERROR(I4/B4,"")</f>
        <v>0.202760308952011</v>
      </c>
      <c r="N4" s="37" t="n">
        <f aca="false">IFERROR(J4/C4,"")</f>
        <v>0.209966575508964</v>
      </c>
      <c r="O4" s="37" t="n">
        <f aca="false">IFERROR(K4/D4,"")</f>
        <v>0.221888824773995</v>
      </c>
      <c r="P4" s="37" t="n">
        <f aca="false">IFERROR(L4/E4,"")</f>
        <v>0.222608146510894</v>
      </c>
      <c r="Q4" s="38" t="n">
        <v>-0.013</v>
      </c>
      <c r="R4" s="38" t="n">
        <v>0.116</v>
      </c>
      <c r="S4" s="38" t="n">
        <v>0.103</v>
      </c>
      <c r="T4" s="38" t="n">
        <v>-0.038</v>
      </c>
      <c r="U4" s="38" t="n">
        <v>0.047</v>
      </c>
      <c r="V4" s="38" t="n">
        <v>-0.008</v>
      </c>
      <c r="W4" s="38" t="n">
        <v>0.004</v>
      </c>
      <c r="X4" s="38" t="n">
        <v>-0.005</v>
      </c>
      <c r="Y4" s="38" t="n">
        <v>-0.001</v>
      </c>
      <c r="Z4" s="38" t="n">
        <v>-0.02</v>
      </c>
    </row>
    <row r="5" customFormat="false" ht="15" hidden="false" customHeight="true" outlineLevel="0" collapsed="false">
      <c r="A5" s="35" t="s">
        <v>111</v>
      </c>
      <c r="B5" s="36" t="n">
        <v>18794</v>
      </c>
      <c r="C5" s="36" t="n">
        <v>19128</v>
      </c>
      <c r="D5" s="36" t="n">
        <v>19098</v>
      </c>
      <c r="E5" s="36" t="n">
        <v>18910</v>
      </c>
      <c r="F5" s="37" t="n">
        <f aca="false">IFERROR(C5/B5-1,"")</f>
        <v>0.0177716292433756</v>
      </c>
      <c r="G5" s="37" t="n">
        <f aca="false">IFERROR(D5/C5-1,"")</f>
        <v>-0.00156838143036386</v>
      </c>
      <c r="H5" s="37" t="n">
        <f aca="false">IFERROR(E5/D5-1,"")</f>
        <v>-0.00984396271860932</v>
      </c>
      <c r="I5" s="36" t="n">
        <v>3439</v>
      </c>
      <c r="J5" s="36" t="n">
        <v>3138</v>
      </c>
      <c r="K5" s="36" t="n">
        <v>3127</v>
      </c>
      <c r="L5" s="36" t="n">
        <v>3192</v>
      </c>
      <c r="M5" s="37" t="n">
        <f aca="false">IFERROR(I5/B5,"")</f>
        <v>0.182983931041822</v>
      </c>
      <c r="N5" s="37" t="n">
        <f aca="false">IFERROR(J5/C5,"")</f>
        <v>0.16405269761606</v>
      </c>
      <c r="O5" s="37" t="n">
        <f aca="false">IFERROR(K5/D5,"")</f>
        <v>0.163734422452613</v>
      </c>
      <c r="P5" s="37" t="n">
        <f aca="false">IFERROR(L5/E5,"")</f>
        <v>0.168799576943416</v>
      </c>
      <c r="Q5" s="38" t="n">
        <v>0.009</v>
      </c>
      <c r="R5" s="38" t="n">
        <v>0.064</v>
      </c>
      <c r="S5" s="38" t="n">
        <v>0.072</v>
      </c>
      <c r="T5" s="38" t="n">
        <v>0.021</v>
      </c>
      <c r="U5" s="38" t="n">
        <v>-0.076</v>
      </c>
      <c r="V5" s="38" t="n">
        <v>0.008</v>
      </c>
      <c r="W5" s="38" t="n">
        <v>0.025</v>
      </c>
      <c r="X5" s="38" t="n">
        <v>0.033</v>
      </c>
      <c r="Y5" s="38" t="n">
        <v>-0.019</v>
      </c>
      <c r="Z5" s="38" t="n">
        <v>-0.025</v>
      </c>
    </row>
    <row r="6" customFormat="false" ht="15" hidden="false" customHeight="true" outlineLevel="0" collapsed="false">
      <c r="A6" s="35" t="s">
        <v>112</v>
      </c>
      <c r="B6" s="36" t="n">
        <v>17894</v>
      </c>
      <c r="C6" s="36" t="n">
        <v>18484</v>
      </c>
      <c r="D6" s="36" t="n">
        <v>17519</v>
      </c>
      <c r="E6" s="36" t="n">
        <v>16793</v>
      </c>
      <c r="F6" s="37" t="n">
        <f aca="false">IFERROR(C6/B6-1,"")</f>
        <v>0.0329719459036548</v>
      </c>
      <c r="G6" s="37" t="n">
        <f aca="false">IFERROR(D6/C6-1,"")</f>
        <v>-0.0522073144341052</v>
      </c>
      <c r="H6" s="37" t="n">
        <f aca="false">IFERROR(E6/D6-1,"")</f>
        <v>-0.0414407215023689</v>
      </c>
      <c r="I6" s="36" t="n">
        <v>4288</v>
      </c>
      <c r="J6" s="36" t="n">
        <v>4237</v>
      </c>
      <c r="K6" s="36" t="n">
        <v>4109</v>
      </c>
      <c r="L6" s="36" t="n">
        <v>3916</v>
      </c>
      <c r="M6" s="37" t="n">
        <f aca="false">IFERROR(I6/B6,"")</f>
        <v>0.239633396669275</v>
      </c>
      <c r="N6" s="37" t="n">
        <f aca="false">IFERROR(J6/C6,"")</f>
        <v>0.229225275914304</v>
      </c>
      <c r="O6" s="37" t="n">
        <f aca="false">IFERROR(K6/D6,"")</f>
        <v>0.23454535076203</v>
      </c>
      <c r="P6" s="37" t="n">
        <f aca="false">IFERROR(L6/E6,"")</f>
        <v>0.233192401595903</v>
      </c>
      <c r="Q6" s="38" t="n">
        <v>0.001</v>
      </c>
      <c r="R6" s="38" t="n">
        <v>0.081</v>
      </c>
      <c r="S6" s="38" t="n">
        <v>0.082</v>
      </c>
      <c r="T6" s="38" t="n">
        <v>-0.001</v>
      </c>
      <c r="U6" s="38" t="n">
        <v>-0.049</v>
      </c>
      <c r="V6" s="38" t="n">
        <v>0.006</v>
      </c>
      <c r="W6" s="38" t="n">
        <v>0.028</v>
      </c>
      <c r="X6" s="38" t="n">
        <v>0.034</v>
      </c>
      <c r="Y6" s="38" t="n">
        <v>0</v>
      </c>
      <c r="Z6" s="38" t="n">
        <v>-0.075</v>
      </c>
    </row>
    <row r="7" customFormat="false" ht="15" hidden="false" customHeight="true" outlineLevel="0" collapsed="false">
      <c r="A7" s="35" t="s">
        <v>113</v>
      </c>
      <c r="B7" s="36" t="n">
        <v>10086</v>
      </c>
      <c r="C7" s="36" t="n">
        <v>11819</v>
      </c>
      <c r="D7" s="36" t="n">
        <v>12196</v>
      </c>
      <c r="E7" s="36" t="n">
        <v>11933</v>
      </c>
      <c r="F7" s="37" t="n">
        <f aca="false">IFERROR(C7/B7-1,"")</f>
        <v>0.171822327979377</v>
      </c>
      <c r="G7" s="37" t="n">
        <f aca="false">IFERROR(D7/C7-1,"")</f>
        <v>0.0318977916913445</v>
      </c>
      <c r="H7" s="37" t="n">
        <f aca="false">IFERROR(E7/D7-1,"")</f>
        <v>-0.0215644473597901</v>
      </c>
      <c r="I7" s="36" t="n">
        <v>2208</v>
      </c>
      <c r="J7" s="36" t="n">
        <v>2501</v>
      </c>
      <c r="K7" s="36" t="n">
        <v>2520</v>
      </c>
      <c r="L7" s="36" t="n">
        <v>2429</v>
      </c>
      <c r="M7" s="37" t="n">
        <f aca="false">IFERROR(I7/B7,"")</f>
        <v>0.218917311124331</v>
      </c>
      <c r="N7" s="37" t="n">
        <f aca="false">IFERROR(J7/C7,"")</f>
        <v>0.211608427108892</v>
      </c>
      <c r="O7" s="37" t="n">
        <f aca="false">IFERROR(K7/D7,"")</f>
        <v>0.206625122991145</v>
      </c>
      <c r="P7" s="37" t="n">
        <f aca="false">IFERROR(L7/E7,"")</f>
        <v>0.203553171876309</v>
      </c>
      <c r="Q7" s="38" t="n">
        <v>0.015</v>
      </c>
      <c r="R7" s="38" t="n">
        <v>0.116</v>
      </c>
      <c r="S7" s="38" t="n">
        <v>0.131</v>
      </c>
      <c r="T7" s="38" t="n">
        <v>0.001</v>
      </c>
      <c r="U7" s="38" t="n">
        <v>0.04</v>
      </c>
      <c r="V7" s="38" t="n">
        <v>-0.003</v>
      </c>
      <c r="W7" s="38" t="n">
        <v>0.027</v>
      </c>
      <c r="X7" s="38" t="n">
        <v>0.025</v>
      </c>
      <c r="Y7" s="38" t="n">
        <v>0.004</v>
      </c>
      <c r="Z7" s="38" t="n">
        <v>-0.049</v>
      </c>
    </row>
    <row r="8" customFormat="false" ht="15" hidden="false" customHeight="true" outlineLevel="0" collapsed="false">
      <c r="A8" s="35" t="s">
        <v>114</v>
      </c>
      <c r="B8" s="36" t="n">
        <v>5175</v>
      </c>
      <c r="C8" s="36" t="n">
        <v>5351</v>
      </c>
      <c r="D8" s="36" t="n">
        <v>5037</v>
      </c>
      <c r="E8" s="36" t="n">
        <v>4973</v>
      </c>
      <c r="F8" s="37" t="n">
        <f aca="false">IFERROR(C8/B8-1,"")</f>
        <v>0.0340096618357488</v>
      </c>
      <c r="G8" s="37" t="n">
        <f aca="false">IFERROR(D8/C8-1,"")</f>
        <v>-0.0586806204447767</v>
      </c>
      <c r="H8" s="37" t="n">
        <f aca="false">IFERROR(E8/D8-1,"")</f>
        <v>-0.0127059757792337</v>
      </c>
      <c r="I8" s="36" t="n">
        <v>700</v>
      </c>
      <c r="J8" s="36" t="n">
        <v>862</v>
      </c>
      <c r="K8" s="36" t="n">
        <v>832</v>
      </c>
      <c r="L8" s="36" t="n">
        <v>803</v>
      </c>
      <c r="M8" s="37" t="n">
        <f aca="false">IFERROR(I8/B8,"")</f>
        <v>0.135265700483092</v>
      </c>
      <c r="N8" s="37" t="n">
        <f aca="false">IFERROR(J8/C8,"")</f>
        <v>0.16109138478789</v>
      </c>
      <c r="O8" s="37" t="n">
        <f aca="false">IFERROR(K8/D8,"")</f>
        <v>0.165177685130038</v>
      </c>
      <c r="P8" s="37" t="n">
        <f aca="false">IFERROR(L8/E8,"")</f>
        <v>0.161471948522019</v>
      </c>
      <c r="Q8" s="38" t="n">
        <v>0.01</v>
      </c>
      <c r="R8" s="38" t="n">
        <v>0.025</v>
      </c>
      <c r="S8" s="38" t="n">
        <v>0.035</v>
      </c>
      <c r="T8" s="38" t="n">
        <v>0</v>
      </c>
      <c r="U8" s="38" t="n">
        <v>-0.001</v>
      </c>
      <c r="V8" s="38" t="n">
        <v>0.043</v>
      </c>
      <c r="W8" s="38" t="n">
        <v>-0.021</v>
      </c>
      <c r="X8" s="38" t="n">
        <v>0.021</v>
      </c>
      <c r="Y8" s="38" t="n">
        <v>0.001</v>
      </c>
      <c r="Z8" s="38" t="n">
        <v>-0.035</v>
      </c>
    </row>
    <row r="9" customFormat="false" ht="15" hidden="false" customHeight="true" outlineLevel="0" collapsed="false">
      <c r="A9" s="35" t="s">
        <v>115</v>
      </c>
      <c r="B9" s="36" t="n">
        <v>4822</v>
      </c>
      <c r="C9" s="36" t="n">
        <v>6602</v>
      </c>
      <c r="D9" s="36" t="n">
        <v>6498</v>
      </c>
      <c r="E9" s="36" t="n">
        <v>6739</v>
      </c>
      <c r="F9" s="37" t="n">
        <f aca="false">IFERROR(C9/B9-1,"")</f>
        <v>0.369141435089175</v>
      </c>
      <c r="G9" s="37" t="n">
        <f aca="false">IFERROR(D9/C9-1,"")</f>
        <v>-0.0157528021811573</v>
      </c>
      <c r="H9" s="37" t="n">
        <f aca="false">IFERROR(E9/D9-1,"")</f>
        <v>0.0370883348722684</v>
      </c>
      <c r="I9" s="36" t="n">
        <v>654</v>
      </c>
      <c r="J9" s="36" t="n">
        <v>899</v>
      </c>
      <c r="K9" s="36" t="n">
        <v>777</v>
      </c>
      <c r="L9" s="36" t="n">
        <v>943</v>
      </c>
      <c r="M9" s="37" t="n">
        <f aca="false">IFERROR(I9/B9,"")</f>
        <v>0.135628369970966</v>
      </c>
      <c r="N9" s="37" t="n">
        <f aca="false">IFERROR(J9/C9,"")</f>
        <v>0.136170857315965</v>
      </c>
      <c r="O9" s="37" t="n">
        <f aca="false">IFERROR(K9/D9,"")</f>
        <v>0.119575253924284</v>
      </c>
      <c r="P9" s="37" t="n">
        <f aca="false">IFERROR(L9/E9,"")</f>
        <v>0.139931740614334</v>
      </c>
      <c r="Q9" s="38" t="n">
        <v>0.006</v>
      </c>
      <c r="R9" s="38" t="n">
        <v>0.034</v>
      </c>
      <c r="S9" s="38" t="n">
        <v>0.04</v>
      </c>
      <c r="T9" s="38" t="n">
        <v>0.315</v>
      </c>
      <c r="U9" s="38" t="n">
        <v>0.015</v>
      </c>
      <c r="V9" s="38" t="n">
        <v>0.055</v>
      </c>
      <c r="W9" s="38" t="n">
        <v>0.007</v>
      </c>
      <c r="X9" s="38" t="n">
        <v>0.062</v>
      </c>
      <c r="Y9" s="38" t="n">
        <v>0.002</v>
      </c>
      <c r="Z9" s="38" t="n">
        <v>-0.028</v>
      </c>
    </row>
    <row r="10" customFormat="false" ht="15" hidden="false" customHeight="true" outlineLevel="0" collapsed="false">
      <c r="A10" s="35" t="s">
        <v>116</v>
      </c>
      <c r="B10" s="36" t="n">
        <v>6418</v>
      </c>
      <c r="C10" s="36" t="n">
        <v>6448</v>
      </c>
      <c r="D10" s="36" t="n">
        <v>6372</v>
      </c>
      <c r="E10" s="36" t="n">
        <v>6378</v>
      </c>
      <c r="F10" s="37" t="n">
        <f aca="false">IFERROR(C10/B10-1,"")</f>
        <v>0.00467435338111555</v>
      </c>
      <c r="G10" s="37" t="n">
        <f aca="false">IFERROR(D10/C10-1,"")</f>
        <v>-0.0117866004962779</v>
      </c>
      <c r="H10" s="37" t="n">
        <f aca="false">IFERROR(E10/D10-1,"")</f>
        <v>0.000941619585687281</v>
      </c>
      <c r="I10" s="36" t="n">
        <v>1475</v>
      </c>
      <c r="J10" s="36" t="n">
        <v>1388</v>
      </c>
      <c r="K10" s="36" t="n">
        <v>1291</v>
      </c>
      <c r="L10" s="36" t="n">
        <v>1278</v>
      </c>
      <c r="M10" s="37" t="n">
        <f aca="false">IFERROR(I10/B10,"")</f>
        <v>0.229822374571518</v>
      </c>
      <c r="N10" s="37" t="n">
        <f aca="false">IFERROR(J10/C10,"")</f>
        <v>0.215260545905707</v>
      </c>
      <c r="O10" s="37" t="n">
        <f aca="false">IFERROR(K10/D10,"")</f>
        <v>0.202605147520402</v>
      </c>
      <c r="P10" s="37" t="n">
        <f aca="false">IFERROR(L10/E10,"")</f>
        <v>0.200376293508937</v>
      </c>
      <c r="Q10" s="38" t="n">
        <v>-0.017</v>
      </c>
      <c r="R10" s="38" t="n">
        <v>0.052</v>
      </c>
      <c r="S10" s="38" t="n">
        <v>0.035</v>
      </c>
      <c r="T10" s="38" t="n">
        <v>-0.003</v>
      </c>
      <c r="U10" s="38" t="n">
        <v>-0.027</v>
      </c>
      <c r="V10" s="38" t="n">
        <v>0.016</v>
      </c>
      <c r="W10" s="38" t="n">
        <v>0.006</v>
      </c>
      <c r="X10" s="38" t="n">
        <v>0.022</v>
      </c>
      <c r="Y10" s="38" t="n">
        <v>0.002</v>
      </c>
      <c r="Z10" s="38" t="n">
        <v>-0.024</v>
      </c>
    </row>
    <row r="11" customFormat="false" ht="15" hidden="false" customHeight="true" outlineLevel="0" collapsed="false">
      <c r="A11" s="35" t="s">
        <v>117</v>
      </c>
      <c r="B11" s="36" t="n">
        <v>206</v>
      </c>
      <c r="C11" s="36" t="n">
        <v>264</v>
      </c>
      <c r="D11" s="36" t="n">
        <v>283</v>
      </c>
      <c r="E11" s="36" t="n">
        <v>292</v>
      </c>
      <c r="F11" s="37" t="n">
        <f aca="false">IFERROR(C11/B11-1,"")</f>
        <v>0.281553398058253</v>
      </c>
      <c r="G11" s="37" t="n">
        <f aca="false">IFERROR(D11/C11-1,"")</f>
        <v>0.071969696969697</v>
      </c>
      <c r="H11" s="37" t="n">
        <f aca="false">IFERROR(E11/D11-1,"")</f>
        <v>0.0318021201413428</v>
      </c>
      <c r="I11" s="36" t="n">
        <v>-32</v>
      </c>
      <c r="J11" s="36" t="n">
        <v>-17</v>
      </c>
      <c r="K11" s="36" t="n">
        <v>-12</v>
      </c>
      <c r="L11" s="36" t="n">
        <v>-13</v>
      </c>
      <c r="M11" s="37" t="n">
        <f aca="false">IFERROR(I11/B11,"")</f>
        <v>-0.155339805825243</v>
      </c>
      <c r="N11" s="37" t="n">
        <f aca="false">IFERROR(J11/C11,"")</f>
        <v>-0.0643939393939394</v>
      </c>
      <c r="O11" s="37" t="n">
        <f aca="false">IFERROR(K11/D11,"")</f>
        <v>-0.0424028268551237</v>
      </c>
      <c r="P11" s="37" t="n">
        <f aca="false">IFERROR(L11/E11,"")</f>
        <v>-0.0445205479452055</v>
      </c>
      <c r="Q11" s="38" t="n">
        <v>0.252</v>
      </c>
      <c r="R11" s="38" t="n">
        <v>0.032</v>
      </c>
      <c r="S11" s="38" t="n">
        <v>0.284</v>
      </c>
      <c r="T11" s="38" t="n">
        <v>0</v>
      </c>
      <c r="U11" s="38" t="n">
        <v>-0.001</v>
      </c>
      <c r="V11" s="38" t="n">
        <v>0.053</v>
      </c>
      <c r="W11" s="38" t="n">
        <v>0.013</v>
      </c>
      <c r="X11" s="38" t="n">
        <v>0.066</v>
      </c>
      <c r="Y11" s="38" t="n">
        <v>0</v>
      </c>
      <c r="Z11" s="38" t="n">
        <v>-0.027</v>
      </c>
    </row>
    <row r="12" customFormat="false" ht="15" hidden="false" customHeight="true" outlineLevel="0" collapsed="false">
      <c r="A12" s="39" t="s">
        <v>118</v>
      </c>
      <c r="B12" s="40" t="n">
        <f aca="false">SUM(B4:B11)</f>
        <v>87088</v>
      </c>
      <c r="C12" s="40" t="n">
        <f aca="false">SUM(C4:C11)</f>
        <v>94424</v>
      </c>
      <c r="D12" s="40" t="n">
        <f aca="false">SUM(D4:D11)</f>
        <v>92998</v>
      </c>
      <c r="E12" s="40" t="n">
        <f aca="false">SUM(E4:E11)</f>
        <v>91354</v>
      </c>
      <c r="F12" s="41" t="n">
        <f aca="false">IFERROR(C12/B12-1,"")</f>
        <v>0.0842366342090759</v>
      </c>
      <c r="G12" s="41" t="n">
        <f aca="false">IFERROR(D12/C12-1,"")</f>
        <v>-0.0151020926882995</v>
      </c>
      <c r="H12" s="41" t="n">
        <f aca="false">IFERROR(E12/D12-1,"")</f>
        <v>-0.0176777995225704</v>
      </c>
      <c r="I12" s="42" t="n">
        <v>15119</v>
      </c>
      <c r="J12" s="42" t="n">
        <v>16103</v>
      </c>
      <c r="K12" s="42" t="n">
        <v>16053</v>
      </c>
      <c r="L12" s="42" t="n">
        <v>15704</v>
      </c>
      <c r="M12" s="41" t="n">
        <f aca="false">IFERROR(I12/B12,"")</f>
        <v>0.173606007716333</v>
      </c>
      <c r="N12" s="41" t="n">
        <f aca="false">IFERROR(J12/C12,"")</f>
        <v>0.170539269677201</v>
      </c>
      <c r="O12" s="41" t="n">
        <f aca="false">IFERROR(K12/D12,"")</f>
        <v>0.172616615411084</v>
      </c>
      <c r="P12" s="41" t="n">
        <f aca="false">IFERROR(L12/E12,"")</f>
        <v>0.171902708146332</v>
      </c>
      <c r="Q12" s="43" t="n">
        <v>0.001</v>
      </c>
      <c r="R12" s="43" t="n">
        <v>0.082</v>
      </c>
      <c r="S12" s="43" t="n">
        <v>0.083</v>
      </c>
      <c r="T12" s="43" t="n">
        <v>0.011</v>
      </c>
      <c r="U12" s="43" t="n">
        <v>-0.009</v>
      </c>
      <c r="V12" s="43" t="n">
        <v>0.008</v>
      </c>
      <c r="W12" s="43" t="n">
        <v>0.015</v>
      </c>
      <c r="X12" s="43" t="n">
        <v>0.022</v>
      </c>
      <c r="Y12" s="43" t="n">
        <v>-0.003</v>
      </c>
      <c r="Z12" s="43" t="n">
        <v>-0.037</v>
      </c>
    </row>
    <row r="13" customFormat="false" ht="15" hidden="false" customHeight="true" outlineLevel="0" collapsed="false">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ustomFormat="false" ht="15" hidden="false" customHeight="true" outlineLevel="0" collapsed="false">
      <c r="A14" s="44" t="s">
        <v>119</v>
      </c>
      <c r="B14" s="44"/>
      <c r="C14" s="44"/>
      <c r="D14" s="44"/>
      <c r="E14" s="44"/>
      <c r="F14" s="44"/>
      <c r="G14" s="44"/>
      <c r="H14" s="44"/>
      <c r="I14" s="44"/>
      <c r="J14" s="44"/>
      <c r="K14" s="30"/>
      <c r="L14" s="30"/>
      <c r="M14" s="30"/>
      <c r="N14" s="30"/>
      <c r="O14" s="30"/>
      <c r="P14" s="30"/>
      <c r="Q14" s="30"/>
      <c r="R14" s="30"/>
      <c r="S14" s="30"/>
      <c r="T14" s="30"/>
      <c r="U14" s="30"/>
      <c r="V14" s="30"/>
      <c r="W14" s="30"/>
      <c r="X14" s="30"/>
      <c r="Y14" s="30"/>
      <c r="Z14" s="30"/>
    </row>
    <row r="15" customFormat="false" ht="27.75" hidden="false" customHeight="true" outlineLevel="0" collapsed="false">
      <c r="A15" s="44" t="s">
        <v>120</v>
      </c>
      <c r="B15" s="44"/>
      <c r="C15" s="44"/>
      <c r="D15" s="44"/>
      <c r="E15" s="44"/>
      <c r="F15" s="44"/>
      <c r="G15" s="44"/>
      <c r="H15" s="44"/>
      <c r="I15" s="44"/>
      <c r="J15" s="44"/>
      <c r="K15" s="44"/>
      <c r="L15" s="44"/>
      <c r="M15" s="44"/>
      <c r="N15" s="44"/>
      <c r="O15" s="30"/>
      <c r="P15" s="30"/>
      <c r="Q15" s="30"/>
      <c r="R15" s="30"/>
      <c r="S15" s="30"/>
      <c r="T15" s="30"/>
      <c r="U15" s="30"/>
      <c r="V15" s="30"/>
      <c r="W15" s="30"/>
      <c r="X15" s="30"/>
      <c r="Y15" s="30"/>
      <c r="Z15" s="30"/>
    </row>
  </sheetData>
  <mergeCells count="3">
    <mergeCell ref="A1:Z1"/>
    <mergeCell ref="A14:J14"/>
    <mergeCell ref="A15:N15"/>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13D"/>
    <pageSetUpPr fitToPage="true"/>
  </sheetPr>
  <dimension ref="A1:V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D5" activeCellId="0" sqref="D5"/>
    </sheetView>
  </sheetViews>
  <sheetFormatPr defaultColWidth="8.71484375" defaultRowHeight="15" zeroHeight="false" outlineLevelRow="0" outlineLevelCol="0"/>
  <cols>
    <col collapsed="false" customWidth="true" hidden="false" outlineLevel="0" max="1" min="1" style="33" width="26"/>
    <col collapsed="false" customWidth="true" hidden="false" outlineLevel="0" max="22" min="2" style="33" width="13"/>
  </cols>
  <sheetData>
    <row r="1" customFormat="false" ht="17.25" hidden="false" customHeight="true" outlineLevel="0" collapsed="false">
      <c r="A1" s="29" t="s">
        <v>121</v>
      </c>
      <c r="B1" s="29"/>
      <c r="C1" s="29"/>
      <c r="D1" s="29"/>
      <c r="E1" s="29"/>
      <c r="F1" s="29"/>
      <c r="G1" s="29"/>
      <c r="H1" s="29"/>
      <c r="I1" s="29"/>
      <c r="J1" s="29"/>
      <c r="K1" s="29"/>
      <c r="L1" s="29"/>
      <c r="M1" s="29"/>
      <c r="N1" s="29"/>
      <c r="O1" s="29"/>
      <c r="P1" s="29"/>
      <c r="Q1" s="29"/>
      <c r="R1" s="29"/>
      <c r="S1" s="29"/>
      <c r="T1" s="29"/>
      <c r="U1" s="29"/>
      <c r="V1" s="29"/>
    </row>
    <row r="2" customFormat="false" ht="15" hidden="false" customHeight="true" outlineLevel="0" collapsed="false">
      <c r="A2" s="30"/>
      <c r="B2" s="30"/>
      <c r="C2" s="30"/>
      <c r="D2" s="30"/>
      <c r="E2" s="30"/>
      <c r="F2" s="30"/>
      <c r="G2" s="30"/>
      <c r="H2" s="30"/>
      <c r="I2" s="30"/>
      <c r="J2" s="30"/>
      <c r="K2" s="30"/>
      <c r="L2" s="30"/>
      <c r="M2" s="30"/>
      <c r="N2" s="30"/>
      <c r="O2" s="30"/>
      <c r="P2" s="30"/>
      <c r="Q2" s="30"/>
      <c r="R2" s="30"/>
      <c r="S2" s="30"/>
      <c r="T2" s="30"/>
      <c r="U2" s="30"/>
      <c r="V2" s="30"/>
    </row>
    <row r="3" customFormat="false" ht="30" hidden="false" customHeight="true" outlineLevel="0" collapsed="false">
      <c r="A3" s="18" t="s">
        <v>122</v>
      </c>
      <c r="B3" s="34" t="s">
        <v>85</v>
      </c>
      <c r="C3" s="34" t="s">
        <v>86</v>
      </c>
      <c r="D3" s="34" t="s">
        <v>87</v>
      </c>
      <c r="E3" s="34" t="s">
        <v>88</v>
      </c>
      <c r="F3" s="34" t="s">
        <v>89</v>
      </c>
      <c r="G3" s="34" t="s">
        <v>90</v>
      </c>
      <c r="H3" s="34" t="s">
        <v>91</v>
      </c>
      <c r="I3" s="34" t="s">
        <v>92</v>
      </c>
      <c r="J3" s="34" t="s">
        <v>93</v>
      </c>
      <c r="K3" s="34" t="s">
        <v>94</v>
      </c>
      <c r="L3" s="34" t="s">
        <v>95</v>
      </c>
      <c r="M3" s="34" t="s">
        <v>96</v>
      </c>
      <c r="N3" s="34" t="s">
        <v>97</v>
      </c>
      <c r="O3" s="34" t="s">
        <v>98</v>
      </c>
      <c r="P3" s="34" t="s">
        <v>99</v>
      </c>
      <c r="Q3" s="34" t="s">
        <v>100</v>
      </c>
      <c r="R3" s="34" t="s">
        <v>101</v>
      </c>
      <c r="S3" s="34" t="s">
        <v>102</v>
      </c>
      <c r="T3" s="34" t="s">
        <v>105</v>
      </c>
      <c r="U3" s="34" t="s">
        <v>106</v>
      </c>
      <c r="V3" s="34" t="s">
        <v>107</v>
      </c>
    </row>
    <row r="4" customFormat="false" ht="15" hidden="false" customHeight="true" outlineLevel="0" collapsed="false">
      <c r="A4" s="35" t="s">
        <v>123</v>
      </c>
      <c r="B4" s="36" t="n">
        <v>23975</v>
      </c>
      <c r="C4" s="36" t="n">
        <v>25218</v>
      </c>
      <c r="D4" s="36" t="n">
        <v>24786</v>
      </c>
      <c r="E4" s="36" t="n">
        <v>24598</v>
      </c>
      <c r="F4" s="37" t="n">
        <f aca="false">IFERROR(C4/B4-1,"")</f>
        <v>0.0518456725755996</v>
      </c>
      <c r="G4" s="37" t="n">
        <f aca="false">IFERROR(D4/C4-1,"")</f>
        <v>-0.0171306209850107</v>
      </c>
      <c r="H4" s="37" t="n">
        <f aca="false">IFERROR(E4/D4-1,"")</f>
        <v>-0.0075849269749052</v>
      </c>
      <c r="I4" s="36" t="n">
        <v>5631</v>
      </c>
      <c r="J4" s="36" t="n">
        <v>5593</v>
      </c>
      <c r="K4" s="36" t="n">
        <v>5130</v>
      </c>
      <c r="L4" s="36" t="n">
        <v>4920</v>
      </c>
      <c r="M4" s="37" t="n">
        <f aca="false">IFERROR(I4/B4,"")</f>
        <v>0.234869655891554</v>
      </c>
      <c r="N4" s="37" t="n">
        <f aca="false">IFERROR(J4/C4,"")</f>
        <v>0.221786025854548</v>
      </c>
      <c r="O4" s="37" t="n">
        <f aca="false">IFERROR(K4/D4,"")</f>
        <v>0.206971677559913</v>
      </c>
      <c r="P4" s="37" t="n">
        <f aca="false">IFERROR(L4/E4,"")</f>
        <v>0.200016261484674</v>
      </c>
      <c r="Q4" s="38" t="n">
        <v>0.002</v>
      </c>
      <c r="R4" s="38" t="n">
        <v>0.078</v>
      </c>
      <c r="S4" s="38" t="n">
        <v>0.08</v>
      </c>
      <c r="T4" s="38" t="n">
        <v>0.016</v>
      </c>
      <c r="U4" s="38" t="n">
        <v>0.017</v>
      </c>
      <c r="V4" s="38" t="n">
        <v>0.033</v>
      </c>
    </row>
    <row r="5" customFormat="false" ht="15" hidden="false" customHeight="true" outlineLevel="0" collapsed="false">
      <c r="A5" s="35" t="s">
        <v>124</v>
      </c>
      <c r="B5" s="36" t="n">
        <v>4040</v>
      </c>
      <c r="C5" s="36" t="n">
        <v>3536</v>
      </c>
      <c r="D5" s="36" t="n">
        <v>3320</v>
      </c>
      <c r="E5" s="36" t="n">
        <v>3180</v>
      </c>
      <c r="F5" s="37" t="n">
        <f aca="false">IFERROR(C5/B5-1,"")</f>
        <v>-0.124752475247525</v>
      </c>
      <c r="G5" s="37" t="n">
        <f aca="false">IFERROR(D5/C5-1,"")</f>
        <v>-0.0610859728506787</v>
      </c>
      <c r="H5" s="37" t="n">
        <f aca="false">IFERROR(E5/D5-1,"")</f>
        <v>-0.0421686746987952</v>
      </c>
      <c r="I5" s="36" t="n">
        <v>364</v>
      </c>
      <c r="J5" s="36" t="n">
        <v>277</v>
      </c>
      <c r="K5" s="36" t="n">
        <v>351</v>
      </c>
      <c r="L5" s="36" t="n">
        <v>297</v>
      </c>
      <c r="M5" s="37" t="n">
        <f aca="false">IFERROR(I5/B5,"")</f>
        <v>0.0900990099009901</v>
      </c>
      <c r="N5" s="37" t="n">
        <f aca="false">IFERROR(J5/C5,"")</f>
        <v>0.0783371040723982</v>
      </c>
      <c r="O5" s="37" t="n">
        <f aca="false">IFERROR(K5/D5,"")</f>
        <v>0.105722891566265</v>
      </c>
      <c r="P5" s="37" t="n">
        <f aca="false">IFERROR(L5/E5,"")</f>
        <v>0.0933962264150943</v>
      </c>
      <c r="Q5" s="38" t="n">
        <v>0.022</v>
      </c>
      <c r="R5" s="38" t="n">
        <v>0.089</v>
      </c>
      <c r="S5" s="38" t="n">
        <v>0.11</v>
      </c>
      <c r="T5" s="38" t="n">
        <v>-0.01</v>
      </c>
      <c r="U5" s="38" t="n">
        <v>0.032</v>
      </c>
      <c r="V5" s="38" t="n">
        <v>0.023</v>
      </c>
    </row>
    <row r="6" customFormat="false" ht="15" hidden="false" customHeight="true" outlineLevel="0" collapsed="false">
      <c r="A6" s="35" t="s">
        <v>125</v>
      </c>
      <c r="B6" s="36" t="n">
        <v>10700</v>
      </c>
      <c r="C6" s="36" t="n">
        <v>11289</v>
      </c>
      <c r="D6" s="36" t="n">
        <v>10981</v>
      </c>
      <c r="E6" s="36" t="n">
        <v>10397</v>
      </c>
      <c r="F6" s="37" t="n">
        <f aca="false">IFERROR(C6/B6-1,"")</f>
        <v>0.0550467289719627</v>
      </c>
      <c r="G6" s="37" t="n">
        <f aca="false">IFERROR(D6/C6-1,"")</f>
        <v>-0.0272831960315352</v>
      </c>
      <c r="H6" s="37" t="n">
        <f aca="false">IFERROR(E6/D6-1,"")</f>
        <v>-0.0531827702395046</v>
      </c>
      <c r="I6" s="36" t="n">
        <v>2707</v>
      </c>
      <c r="J6" s="36" t="n">
        <v>2568</v>
      </c>
      <c r="K6" s="36" t="n">
        <v>2688</v>
      </c>
      <c r="L6" s="36" t="n">
        <v>2442</v>
      </c>
      <c r="M6" s="37" t="n">
        <f aca="false">IFERROR(I6/B6,"")</f>
        <v>0.252990654205607</v>
      </c>
      <c r="N6" s="37" t="n">
        <f aca="false">IFERROR(J6/C6,"")</f>
        <v>0.227478076003189</v>
      </c>
      <c r="O6" s="37" t="n">
        <f aca="false">IFERROR(K6/D6,"")</f>
        <v>0.244786449321555</v>
      </c>
      <c r="P6" s="37" t="n">
        <f aca="false">IFERROR(L6/E6,"")</f>
        <v>0.234875444839858</v>
      </c>
      <c r="Q6" s="38" t="n">
        <v>-0.043</v>
      </c>
      <c r="R6" s="38" t="n">
        <v>0.096</v>
      </c>
      <c r="S6" s="38" t="n">
        <v>0.054</v>
      </c>
      <c r="T6" s="38" t="n">
        <v>-0.007</v>
      </c>
      <c r="U6" s="38" t="n">
        <v>0.001</v>
      </c>
      <c r="V6" s="38" t="n">
        <v>-0.006</v>
      </c>
    </row>
    <row r="7" customFormat="false" ht="15" hidden="false" customHeight="true" outlineLevel="0" collapsed="false">
      <c r="A7" s="35" t="s">
        <v>126</v>
      </c>
      <c r="B7" s="36" t="n">
        <v>13157</v>
      </c>
      <c r="C7" s="36" t="n">
        <v>15678</v>
      </c>
      <c r="D7" s="36" t="n">
        <v>15278</v>
      </c>
      <c r="E7" s="36" t="n">
        <v>15137</v>
      </c>
      <c r="F7" s="37" t="n">
        <f aca="false">IFERROR(C7/B7-1,"")</f>
        <v>0.191609029414</v>
      </c>
      <c r="G7" s="37" t="n">
        <f aca="false">IFERROR(D7/C7-1,"")</f>
        <v>-0.0255134583492792</v>
      </c>
      <c r="H7" s="37" t="n">
        <f aca="false">IFERROR(E7/D7-1,"")</f>
        <v>-0.00922895666972112</v>
      </c>
      <c r="I7" s="36" t="n">
        <v>2307</v>
      </c>
      <c r="J7" s="36" t="n">
        <v>2990</v>
      </c>
      <c r="K7" s="36" t="n">
        <v>2831</v>
      </c>
      <c r="L7" s="36" t="n">
        <v>3006</v>
      </c>
      <c r="M7" s="37" t="n">
        <f aca="false">IFERROR(I7/B7,"")</f>
        <v>0.17534392338679</v>
      </c>
      <c r="N7" s="37" t="n">
        <f aca="false">IFERROR(J7/C7,"")</f>
        <v>0.190713101160862</v>
      </c>
      <c r="O7" s="37" t="n">
        <f aca="false">IFERROR(K7/D7,"")</f>
        <v>0.185299122921848</v>
      </c>
      <c r="P7" s="37" t="n">
        <f aca="false">IFERROR(L7/E7,"")</f>
        <v>0.198586245623307</v>
      </c>
      <c r="Q7" s="38" t="n">
        <v>0.017</v>
      </c>
      <c r="R7" s="38" t="n">
        <v>0.057</v>
      </c>
      <c r="S7" s="38" t="n">
        <v>0.074</v>
      </c>
      <c r="T7" s="38" t="n">
        <v>0.019</v>
      </c>
      <c r="U7" s="38" t="n">
        <v>0.009</v>
      </c>
      <c r="V7" s="38" t="n">
        <v>0.028</v>
      </c>
    </row>
    <row r="8" customFormat="false" ht="15" hidden="false" customHeight="true" outlineLevel="0" collapsed="false">
      <c r="A8" s="35" t="s">
        <v>127</v>
      </c>
      <c r="B8" s="36" t="n">
        <v>12146</v>
      </c>
      <c r="C8" s="36" t="n">
        <v>12484</v>
      </c>
      <c r="D8" s="36" t="n">
        <v>11666</v>
      </c>
      <c r="E8" s="36" t="n">
        <v>10711</v>
      </c>
      <c r="F8" s="37" t="n">
        <f aca="false">IFERROR(C8/B8-1,"")</f>
        <v>0.0278280915527747</v>
      </c>
      <c r="G8" s="37" t="n">
        <f aca="false">IFERROR(D8/C8-1,"")</f>
        <v>-0.0655238705543095</v>
      </c>
      <c r="H8" s="37" t="n">
        <f aca="false">IFERROR(E8/D8-1,"")</f>
        <v>-0.0818618206754672</v>
      </c>
      <c r="I8" s="36" t="n">
        <v>2040</v>
      </c>
      <c r="J8" s="36" t="n">
        <v>2038</v>
      </c>
      <c r="K8" s="36" t="n">
        <v>2136</v>
      </c>
      <c r="L8" s="36" t="n">
        <v>2137</v>
      </c>
      <c r="M8" s="37" t="n">
        <f aca="false">IFERROR(I8/B8,"")</f>
        <v>0.167956528898403</v>
      </c>
      <c r="N8" s="37" t="n">
        <f aca="false">IFERROR(J8/C8,"")</f>
        <v>0.163248958667094</v>
      </c>
      <c r="O8" s="37" t="n">
        <f aca="false">IFERROR(K8/D8,"")</f>
        <v>0.183096176924396</v>
      </c>
      <c r="P8" s="37" t="n">
        <f aca="false">IFERROR(L8/E8,"")</f>
        <v>0.199514517785454</v>
      </c>
      <c r="Q8" s="38" t="n">
        <v>-0.069</v>
      </c>
      <c r="R8" s="38" t="n">
        <v>0.1</v>
      </c>
      <c r="S8" s="38" t="n">
        <v>0.031</v>
      </c>
      <c r="T8" s="38" t="n">
        <v>-0.022</v>
      </c>
      <c r="U8" s="38" t="n">
        <v>0.005</v>
      </c>
      <c r="V8" s="38" t="n">
        <v>-0.017</v>
      </c>
    </row>
    <row r="9" customFormat="false" ht="15" hidden="false" customHeight="true" outlineLevel="0" collapsed="false">
      <c r="A9" s="35" t="s">
        <v>128</v>
      </c>
      <c r="B9" s="36" t="n">
        <v>7514</v>
      </c>
      <c r="C9" s="36" t="n">
        <v>8118</v>
      </c>
      <c r="D9" s="36" t="n">
        <v>8107</v>
      </c>
      <c r="E9" s="36" t="n">
        <v>8449</v>
      </c>
      <c r="F9" s="37" t="n">
        <f aca="false">IFERROR(C9/B9-1,"")</f>
        <v>0.0803832845355337</v>
      </c>
      <c r="G9" s="37" t="n">
        <f aca="false">IFERROR(D9/C9-1,"")</f>
        <v>-0.00135501355013545</v>
      </c>
      <c r="H9" s="37" t="n">
        <f aca="false">IFERROR(E9/D9-1,"")</f>
        <v>0.0421857653879363</v>
      </c>
      <c r="I9" s="36" t="n">
        <v>1205</v>
      </c>
      <c r="J9" s="36" t="n">
        <v>1364</v>
      </c>
      <c r="K9" s="36" t="n">
        <v>1364</v>
      </c>
      <c r="L9" s="36" t="n">
        <v>1299</v>
      </c>
      <c r="M9" s="37" t="n">
        <f aca="false">IFERROR(I9/B9,"")</f>
        <v>0.160367314346553</v>
      </c>
      <c r="N9" s="37" t="n">
        <f aca="false">IFERROR(J9/C9,"")</f>
        <v>0.168021680216802</v>
      </c>
      <c r="O9" s="37" t="n">
        <f aca="false">IFERROR(K9/D9,"")</f>
        <v>0.168249660786974</v>
      </c>
      <c r="P9" s="37" t="n">
        <f aca="false">IFERROR(L9/E9,"")</f>
        <v>0.153746005444431</v>
      </c>
      <c r="Q9" s="38" t="n">
        <v>0.048</v>
      </c>
      <c r="R9" s="38" t="n">
        <v>0.047</v>
      </c>
      <c r="S9" s="38" t="n">
        <v>0.094</v>
      </c>
      <c r="T9" s="38" t="n">
        <v>-0.002</v>
      </c>
      <c r="U9" s="38" t="n">
        <v>0.064</v>
      </c>
      <c r="V9" s="38" t="n">
        <v>0.062</v>
      </c>
    </row>
    <row r="10" customFormat="false" ht="15" hidden="false" customHeight="true" outlineLevel="0" collapsed="false">
      <c r="A10" s="35" t="s">
        <v>129</v>
      </c>
      <c r="B10" s="36" t="n">
        <v>15556</v>
      </c>
      <c r="C10" s="36" t="n">
        <v>18101</v>
      </c>
      <c r="D10" s="36" t="n">
        <v>18860</v>
      </c>
      <c r="E10" s="36" t="n">
        <v>18882</v>
      </c>
      <c r="F10" s="37" t="n">
        <f aca="false">IFERROR(C10/B10-1,"")</f>
        <v>0.1636024685009</v>
      </c>
      <c r="G10" s="37" t="n">
        <f aca="false">IFERROR(D10/C10-1,"")</f>
        <v>0.0419313850063532</v>
      </c>
      <c r="H10" s="37" t="n">
        <f aca="false">IFERROR(E10/D10-1,"")</f>
        <v>0.00116648992576884</v>
      </c>
      <c r="I10" s="36" t="n">
        <v>3282</v>
      </c>
      <c r="J10" s="36" t="n">
        <v>3706</v>
      </c>
      <c r="K10" s="36" t="n">
        <v>3912</v>
      </c>
      <c r="L10" s="36" t="n">
        <v>4087</v>
      </c>
      <c r="M10" s="37" t="n">
        <f aca="false">IFERROR(I10/B10,"")</f>
        <v>0.210979686294677</v>
      </c>
      <c r="N10" s="37" t="n">
        <f aca="false">IFERROR(J10/C10,"")</f>
        <v>0.204740069609414</v>
      </c>
      <c r="O10" s="37" t="n">
        <f aca="false">IFERROR(K10/D10,"")</f>
        <v>0.207423117709438</v>
      </c>
      <c r="P10" s="37" t="n">
        <f aca="false">IFERROR(L10/E10,"")</f>
        <v>0.216449528651626</v>
      </c>
      <c r="Q10" s="38" t="n">
        <v>0.043</v>
      </c>
      <c r="R10" s="38" t="n">
        <v>0.102</v>
      </c>
      <c r="S10" s="38" t="n">
        <v>0.145</v>
      </c>
      <c r="T10" s="38" t="n">
        <v>0.021</v>
      </c>
      <c r="U10" s="38" t="n">
        <v>0.006</v>
      </c>
      <c r="V10" s="38" t="n">
        <v>0.027</v>
      </c>
    </row>
    <row r="11" customFormat="false" ht="15" hidden="false" customHeight="true" outlineLevel="0" collapsed="false">
      <c r="A11" s="39" t="s">
        <v>118</v>
      </c>
      <c r="B11" s="40" t="n">
        <f aca="false">SUM(B4:B10)</f>
        <v>87088</v>
      </c>
      <c r="C11" s="40" t="n">
        <f aca="false">SUM(C4:C10)</f>
        <v>94424</v>
      </c>
      <c r="D11" s="40" t="n">
        <f aca="false">SUM(D4:D10)</f>
        <v>92998</v>
      </c>
      <c r="E11" s="40" t="n">
        <f aca="false">SUM(E4:E10)</f>
        <v>91354</v>
      </c>
      <c r="F11" s="41" t="n">
        <f aca="false">IFERROR(C11/B11-1,"")</f>
        <v>0.0842366342090759</v>
      </c>
      <c r="G11" s="41" t="n">
        <f aca="false">IFERROR(D11/C11-1,"")</f>
        <v>-0.0151020926882995</v>
      </c>
      <c r="H11" s="41" t="n">
        <f aca="false">IFERROR(E11/D11-1,"")</f>
        <v>-0.0176777995225704</v>
      </c>
      <c r="I11" s="42" t="n">
        <v>15119</v>
      </c>
      <c r="J11" s="42" t="n">
        <v>16103</v>
      </c>
      <c r="K11" s="42" t="n">
        <v>16053</v>
      </c>
      <c r="L11" s="42" t="n">
        <v>15704</v>
      </c>
      <c r="M11" s="41" t="n">
        <f aca="false">IFERROR(I11/B11,"")</f>
        <v>0.173606007716333</v>
      </c>
      <c r="N11" s="41" t="n">
        <f aca="false">IFERROR(J11/C11,"")</f>
        <v>0.170539269677201</v>
      </c>
      <c r="O11" s="41" t="n">
        <f aca="false">IFERROR(K11/D11,"")</f>
        <v>0.172616615411084</v>
      </c>
      <c r="P11" s="41" t="n">
        <f aca="false">IFERROR(L11/E11,"")</f>
        <v>0.171902708146332</v>
      </c>
      <c r="Q11" s="45"/>
      <c r="R11" s="45"/>
      <c r="S11" s="45"/>
      <c r="T11" s="45"/>
      <c r="U11" s="45"/>
      <c r="V11" s="45"/>
    </row>
    <row r="12" customFormat="false" ht="15" hidden="false" customHeight="true" outlineLevel="0" collapsed="false">
      <c r="A12" s="30"/>
      <c r="B12" s="30"/>
      <c r="C12" s="30"/>
      <c r="D12" s="30"/>
      <c r="E12" s="30"/>
      <c r="F12" s="30"/>
      <c r="G12" s="30"/>
      <c r="H12" s="30"/>
      <c r="I12" s="30"/>
      <c r="J12" s="30"/>
      <c r="K12" s="30"/>
      <c r="L12" s="30"/>
      <c r="M12" s="30"/>
      <c r="N12" s="30"/>
      <c r="O12" s="30"/>
      <c r="P12" s="30"/>
      <c r="Q12" s="30"/>
      <c r="R12" s="30"/>
      <c r="S12" s="30"/>
      <c r="T12" s="30"/>
      <c r="U12" s="30"/>
      <c r="V12" s="30"/>
    </row>
    <row r="13" customFormat="false" ht="15" hidden="false" customHeight="true" outlineLevel="0" collapsed="false">
      <c r="A13" s="46" t="s">
        <v>130</v>
      </c>
      <c r="B13" s="46"/>
      <c r="C13" s="46"/>
      <c r="D13" s="46"/>
      <c r="E13" s="46"/>
      <c r="F13" s="46"/>
      <c r="G13" s="46"/>
      <c r="H13" s="46"/>
      <c r="I13" s="46"/>
      <c r="J13" s="46"/>
      <c r="K13" s="30"/>
      <c r="L13" s="30"/>
      <c r="M13" s="30"/>
      <c r="N13" s="30"/>
      <c r="O13" s="30"/>
      <c r="P13" s="30"/>
      <c r="Q13" s="30"/>
      <c r="R13" s="30"/>
      <c r="S13" s="30"/>
      <c r="T13" s="30"/>
      <c r="U13" s="30"/>
      <c r="V13" s="30"/>
    </row>
    <row r="14" customFormat="false" ht="15" hidden="false" customHeight="true" outlineLevel="0" collapsed="false">
      <c r="A14" s="44" t="s">
        <v>131</v>
      </c>
      <c r="B14" s="44"/>
      <c r="C14" s="44"/>
      <c r="D14" s="44"/>
      <c r="E14" s="44"/>
      <c r="F14" s="44"/>
      <c r="G14" s="44"/>
      <c r="H14" s="44"/>
      <c r="I14" s="44"/>
      <c r="J14" s="44"/>
      <c r="K14" s="44"/>
      <c r="L14" s="44"/>
      <c r="M14" s="44"/>
      <c r="N14" s="44"/>
      <c r="O14" s="30"/>
      <c r="P14" s="30"/>
      <c r="Q14" s="30"/>
      <c r="R14" s="30"/>
      <c r="S14" s="30"/>
      <c r="T14" s="30"/>
      <c r="U14" s="30"/>
      <c r="V14" s="30"/>
    </row>
  </sheetData>
  <mergeCells count="3">
    <mergeCell ref="A1:V1"/>
    <mergeCell ref="A13:J13"/>
    <mergeCell ref="A14:N14"/>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13D"/>
    <pageSetUpPr fitToPage="tru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3" width="52"/>
    <col collapsed="false" customWidth="true" hidden="false" outlineLevel="0" max="5" min="2" style="33" width="14"/>
  </cols>
  <sheetData>
    <row r="1" customFormat="false" ht="15" hidden="false" customHeight="true" outlineLevel="0" collapsed="false">
      <c r="A1" s="29" t="s">
        <v>132</v>
      </c>
      <c r="B1" s="30"/>
      <c r="C1" s="30"/>
      <c r="D1" s="30"/>
      <c r="E1" s="30"/>
    </row>
    <row r="2" customFormat="false" ht="15" hidden="false" customHeight="true" outlineLevel="0" collapsed="false">
      <c r="A2" s="30"/>
      <c r="B2" s="30"/>
      <c r="C2" s="30"/>
      <c r="D2" s="30"/>
      <c r="E2" s="30"/>
    </row>
    <row r="3" customFormat="false" ht="15" hidden="false" customHeight="true" outlineLevel="0" collapsed="false">
      <c r="A3" s="18" t="s">
        <v>133</v>
      </c>
      <c r="B3" s="34" t="s">
        <v>134</v>
      </c>
      <c r="C3" s="34" t="s">
        <v>135</v>
      </c>
      <c r="D3" s="34" t="s">
        <v>136</v>
      </c>
      <c r="E3" s="34" t="s">
        <v>137</v>
      </c>
    </row>
    <row r="4" customFormat="false" ht="15" hidden="false" customHeight="true" outlineLevel="0" collapsed="false">
      <c r="A4" s="47" t="s">
        <v>138</v>
      </c>
      <c r="B4" s="36" t="n">
        <v>87088</v>
      </c>
      <c r="C4" s="36" t="n">
        <v>94424</v>
      </c>
      <c r="D4" s="36" t="n">
        <v>92998</v>
      </c>
      <c r="E4" s="36" t="n">
        <v>91354</v>
      </c>
    </row>
    <row r="5" customFormat="false" ht="15" hidden="false" customHeight="true" outlineLevel="0" collapsed="false">
      <c r="A5" s="47" t="s">
        <v>139</v>
      </c>
      <c r="B5" s="36" t="n">
        <v>382</v>
      </c>
      <c r="C5" s="36" t="n">
        <v>356</v>
      </c>
      <c r="D5" s="36" t="n">
        <v>353</v>
      </c>
      <c r="E5" s="36" t="n">
        <v>366</v>
      </c>
    </row>
    <row r="6" customFormat="false" ht="15" hidden="false" customHeight="true" outlineLevel="0" collapsed="false">
      <c r="A6" s="47" t="s">
        <v>140</v>
      </c>
      <c r="B6" s="36" t="n">
        <v>-45468</v>
      </c>
      <c r="C6" s="36" t="n">
        <v>-51745</v>
      </c>
      <c r="D6" s="36" t="n">
        <v>-50328</v>
      </c>
      <c r="E6" s="36" t="n">
        <v>-48670</v>
      </c>
    </row>
    <row r="7" customFormat="false" ht="15" hidden="false" customHeight="true" outlineLevel="0" collapsed="false">
      <c r="A7" s="47" t="s">
        <v>141</v>
      </c>
      <c r="B7" s="36" t="n">
        <v>-7919</v>
      </c>
      <c r="C7" s="36" t="n">
        <v>-8386</v>
      </c>
      <c r="D7" s="36" t="n">
        <v>-7765</v>
      </c>
      <c r="E7" s="36" t="n">
        <v>-7567</v>
      </c>
    </row>
    <row r="8" customFormat="false" ht="15" hidden="false" customHeight="true" outlineLevel="0" collapsed="false">
      <c r="A8" s="47" t="s">
        <v>142</v>
      </c>
      <c r="B8" s="36" t="n">
        <v>-17294</v>
      </c>
      <c r="C8" s="36" t="n">
        <v>-16850</v>
      </c>
      <c r="D8" s="36" t="n">
        <v>-17549</v>
      </c>
      <c r="E8" s="36" t="n">
        <v>-18112</v>
      </c>
    </row>
    <row r="9" customFormat="false" ht="15" hidden="false" customHeight="true" outlineLevel="0" collapsed="false">
      <c r="A9" s="47" t="s">
        <v>143</v>
      </c>
      <c r="B9" s="36" t="n">
        <v>-1670</v>
      </c>
      <c r="C9" s="36" t="n">
        <v>-1696</v>
      </c>
      <c r="D9" s="36" t="n">
        <v>-1656</v>
      </c>
      <c r="E9" s="36" t="n">
        <v>-1667</v>
      </c>
    </row>
    <row r="10" customFormat="false" ht="15" hidden="false" customHeight="true" outlineLevel="0" collapsed="false">
      <c r="A10" s="39" t="s">
        <v>144</v>
      </c>
      <c r="B10" s="48" t="n">
        <f aca="false">SUM(B4:B9)</f>
        <v>15119</v>
      </c>
      <c r="C10" s="48" t="n">
        <f aca="false">SUM(C4:C9)</f>
        <v>16103</v>
      </c>
      <c r="D10" s="48" t="n">
        <f aca="false">SUM(D4:D9)</f>
        <v>16053</v>
      </c>
      <c r="E10" s="48" t="n">
        <f aca="false">SUM(E4:E9)</f>
        <v>15704</v>
      </c>
    </row>
    <row r="11" customFormat="false" ht="15" hidden="false" customHeight="true" outlineLevel="0" collapsed="false">
      <c r="A11" s="47" t="s">
        <v>145</v>
      </c>
      <c r="B11" s="36" t="n">
        <v>171</v>
      </c>
      <c r="C11" s="36" t="n">
        <v>107</v>
      </c>
      <c r="D11" s="36" t="n">
        <v>132</v>
      </c>
      <c r="E11" s="36" t="n">
        <v>124</v>
      </c>
    </row>
    <row r="12" customFormat="false" ht="15" hidden="false" customHeight="true" outlineLevel="0" collapsed="false">
      <c r="A12" s="47" t="s">
        <v>146</v>
      </c>
      <c r="B12" s="36" t="n">
        <v>-3131</v>
      </c>
      <c r="C12" s="36" t="n">
        <v>-3015</v>
      </c>
      <c r="D12" s="36" t="n">
        <v>-1665</v>
      </c>
      <c r="E12" s="36" t="n">
        <v>-1195</v>
      </c>
    </row>
    <row r="13" customFormat="false" ht="15" hidden="false" customHeight="true" outlineLevel="0" collapsed="false">
      <c r="A13" s="39" t="s">
        <v>147</v>
      </c>
      <c r="B13" s="48" t="n">
        <f aca="false">B10+B11+B12</f>
        <v>12159</v>
      </c>
      <c r="C13" s="48" t="n">
        <f aca="false">C10+C11+C12</f>
        <v>13195</v>
      </c>
      <c r="D13" s="48" t="n">
        <f aca="false">D10+D11+D12</f>
        <v>14520</v>
      </c>
      <c r="E13" s="48" t="n">
        <f aca="false">E10+E11+E12</f>
        <v>14633</v>
      </c>
    </row>
    <row r="14" customFormat="false" ht="15" hidden="false" customHeight="true" outlineLevel="0" collapsed="false">
      <c r="A14" s="47" t="s">
        <v>148</v>
      </c>
      <c r="B14" s="36" t="n">
        <v>698</v>
      </c>
      <c r="C14" s="36" t="n">
        <v>340</v>
      </c>
      <c r="D14" s="36" t="n">
        <v>298</v>
      </c>
      <c r="E14" s="36" t="n">
        <v>474</v>
      </c>
    </row>
    <row r="15" customFormat="false" ht="15" hidden="false" customHeight="true" outlineLevel="0" collapsed="false">
      <c r="A15" s="47" t="s">
        <v>149</v>
      </c>
      <c r="B15" s="36" t="n">
        <v>-1178</v>
      </c>
      <c r="C15" s="36" t="n">
        <v>-1209</v>
      </c>
      <c r="D15" s="36" t="n">
        <v>-755</v>
      </c>
      <c r="E15" s="36" t="n">
        <v>-383</v>
      </c>
    </row>
    <row r="16" customFormat="false" ht="15" hidden="false" customHeight="true" outlineLevel="0" collapsed="false">
      <c r="A16" s="39" t="s">
        <v>150</v>
      </c>
      <c r="B16" s="48" t="n">
        <f aca="false">B13+B14+B15</f>
        <v>11679</v>
      </c>
      <c r="C16" s="48" t="n">
        <f aca="false">C13+C14+C15</f>
        <v>12326</v>
      </c>
      <c r="D16" s="48" t="n">
        <f aca="false">D13+D14+D15</f>
        <v>14063</v>
      </c>
      <c r="E16" s="48" t="n">
        <f aca="false">E13+E14+E15</f>
        <v>14724</v>
      </c>
    </row>
    <row r="17" customFormat="false" ht="15" hidden="false" customHeight="true" outlineLevel="0" collapsed="false">
      <c r="A17" s="47" t="s">
        <v>151</v>
      </c>
      <c r="B17" s="36" t="n">
        <v>80</v>
      </c>
      <c r="C17" s="36" t="n">
        <v>210</v>
      </c>
      <c r="D17" s="36" t="n">
        <v>284</v>
      </c>
      <c r="E17" s="36" t="n">
        <v>358</v>
      </c>
    </row>
    <row r="18" customFormat="false" ht="15" hidden="false" customHeight="true" outlineLevel="0" collapsed="false">
      <c r="A18" s="47" t="s">
        <v>152</v>
      </c>
      <c r="B18" s="36" t="n">
        <v>-953</v>
      </c>
      <c r="C18" s="36" t="n">
        <v>-1250</v>
      </c>
      <c r="D18" s="36" t="n">
        <v>-1644</v>
      </c>
      <c r="E18" s="36" t="n">
        <v>-1843</v>
      </c>
    </row>
    <row r="19" customFormat="false" ht="15" hidden="false" customHeight="true" outlineLevel="0" collapsed="false">
      <c r="A19" s="35" t="s">
        <v>153</v>
      </c>
      <c r="B19" s="49" t="n">
        <f aca="false">B17+B18</f>
        <v>-873</v>
      </c>
      <c r="C19" s="49" t="n">
        <f aca="false">C17+C18</f>
        <v>-1040</v>
      </c>
      <c r="D19" s="49" t="n">
        <f aca="false">D17+D18</f>
        <v>-1360</v>
      </c>
      <c r="E19" s="49" t="n">
        <f aca="false">E17+E18</f>
        <v>-1485</v>
      </c>
    </row>
    <row r="20" customFormat="false" ht="15" hidden="false" customHeight="true" outlineLevel="0" collapsed="false">
      <c r="A20" s="39" t="s">
        <v>154</v>
      </c>
      <c r="B20" s="48" t="n">
        <f aca="false">B16+B19</f>
        <v>10806</v>
      </c>
      <c r="C20" s="48" t="n">
        <f aca="false">C16+C19</f>
        <v>11286</v>
      </c>
      <c r="D20" s="48" t="n">
        <f aca="false">D16+D19</f>
        <v>12703</v>
      </c>
      <c r="E20" s="48" t="n">
        <f aca="false">E16+E19</f>
        <v>13239</v>
      </c>
    </row>
    <row r="21" customFormat="false" ht="15" hidden="false" customHeight="true" outlineLevel="0" collapsed="false">
      <c r="A21" s="47" t="s">
        <v>155</v>
      </c>
      <c r="B21" s="36" t="n">
        <v>8651</v>
      </c>
      <c r="C21" s="36" t="n">
        <v>1040</v>
      </c>
      <c r="D21" s="36" t="n">
        <v>1120</v>
      </c>
      <c r="E21" s="36" t="n">
        <v>1249</v>
      </c>
    </row>
    <row r="22" customFormat="false" ht="15" hidden="false" customHeight="true" outlineLevel="0" collapsed="false">
      <c r="A22" s="47" t="s">
        <v>156</v>
      </c>
      <c r="B22" s="36" t="n">
        <v>-2261</v>
      </c>
      <c r="C22" s="36" t="n">
        <v>-2730</v>
      </c>
      <c r="D22" s="36" t="n">
        <v>-2314</v>
      </c>
      <c r="E22" s="36" t="n">
        <v>-3314</v>
      </c>
    </row>
    <row r="23" customFormat="false" ht="15" hidden="false" customHeight="true" outlineLevel="0" collapsed="false">
      <c r="A23" s="39" t="s">
        <v>157</v>
      </c>
      <c r="B23" s="48" t="n">
        <f aca="false">B20+B21+B22</f>
        <v>17196</v>
      </c>
      <c r="C23" s="48" t="n">
        <f aca="false">C20+C21+C22</f>
        <v>9596</v>
      </c>
      <c r="D23" s="48" t="n">
        <f aca="false">D20+D21+D22</f>
        <v>11509</v>
      </c>
      <c r="E23" s="48" t="n">
        <f aca="false">E20+E21+E22</f>
        <v>11174</v>
      </c>
    </row>
    <row r="24" customFormat="false" ht="15" hidden="false" customHeight="true" outlineLevel="0" collapsed="false">
      <c r="A24" s="47" t="s">
        <v>158</v>
      </c>
      <c r="B24" s="36" t="n">
        <v>291</v>
      </c>
      <c r="C24" s="36" t="n">
        <v>326</v>
      </c>
      <c r="D24" s="36" t="n">
        <v>300</v>
      </c>
      <c r="E24" s="36" t="n">
        <v>290</v>
      </c>
    </row>
    <row r="25" customFormat="false" ht="15" hidden="false" customHeight="true" outlineLevel="0" collapsed="false">
      <c r="A25" s="39" t="s">
        <v>159</v>
      </c>
      <c r="B25" s="48" t="n">
        <f aca="false">B23-B24</f>
        <v>16905</v>
      </c>
      <c r="C25" s="48" t="n">
        <f aca="false">C23-C24</f>
        <v>9270</v>
      </c>
      <c r="D25" s="48" t="n">
        <f aca="false">D23-D24</f>
        <v>11209</v>
      </c>
      <c r="E25" s="48" t="n">
        <f aca="false">E23-E24</f>
        <v>10884</v>
      </c>
    </row>
    <row r="26" customFormat="false" ht="15" hidden="false" customHeight="true" outlineLevel="0" collapsed="false">
      <c r="A26" s="30"/>
      <c r="B26" s="30"/>
      <c r="C26" s="30"/>
      <c r="D26" s="30"/>
      <c r="E26" s="30"/>
    </row>
    <row r="27" customFormat="false" ht="15" hidden="false" customHeight="true" outlineLevel="0" collapsed="false">
      <c r="A27" s="47" t="s">
        <v>160</v>
      </c>
      <c r="B27" s="37" t="n">
        <f aca="false">IFERROR(B10/B4,"")</f>
        <v>0.173606007716333</v>
      </c>
      <c r="C27" s="37" t="n">
        <f aca="false">IFERROR(C10/C4,"")</f>
        <v>0.170539269677201</v>
      </c>
      <c r="D27" s="37" t="n">
        <f aca="false">IFERROR(D10/D4,"")</f>
        <v>0.172616615411084</v>
      </c>
      <c r="E27" s="37" t="n">
        <f aca="false">IFERROR(E10/E4,"")</f>
        <v>0.171902708146332</v>
      </c>
    </row>
    <row r="28" customFormat="false" ht="15" hidden="false" customHeight="true" outlineLevel="0" collapsed="false">
      <c r="A28" s="47" t="s">
        <v>161</v>
      </c>
      <c r="B28" s="37" t="n">
        <f aca="false">IFERROR(B13/B4,"")</f>
        <v>0.139617398493478</v>
      </c>
      <c r="C28" s="37" t="n">
        <f aca="false">IFERROR(C13/C4,"")</f>
        <v>0.139742014742015</v>
      </c>
      <c r="D28" s="37" t="n">
        <f aca="false">IFERROR(D13/D4,"")</f>
        <v>0.15613238994387</v>
      </c>
      <c r="E28" s="37" t="n">
        <f aca="false">IFERROR(E13/E4,"")</f>
        <v>0.160179083565033</v>
      </c>
    </row>
    <row r="29" customFormat="false" ht="15" hidden="false" customHeight="true" outlineLevel="0" collapsed="false">
      <c r="A29" s="47" t="s">
        <v>162</v>
      </c>
      <c r="B29" s="37" t="n">
        <f aca="false">IFERROR(B16/B4,"")</f>
        <v>0.134105732133015</v>
      </c>
      <c r="C29" s="37" t="n">
        <f aca="false">IFERROR(C16/C4,"")</f>
        <v>0.130538846056087</v>
      </c>
      <c r="D29" s="37" t="n">
        <f aca="false">IFERROR(D16/D4,"")</f>
        <v>0.151218305770017</v>
      </c>
      <c r="E29" s="37" t="n">
        <f aca="false">IFERROR(E16/E4,"")</f>
        <v>0.161175208529457</v>
      </c>
    </row>
    <row r="30" customFormat="false" ht="15" hidden="false" customHeight="true" outlineLevel="0" collapsed="false">
      <c r="A30" s="47" t="s">
        <v>163</v>
      </c>
      <c r="B30" s="37" t="n">
        <f aca="false">IFERROR(B25/B4,"")</f>
        <v>0.194113999632556</v>
      </c>
      <c r="C30" s="37" t="n">
        <f aca="false">IFERROR(C25/C4,"")</f>
        <v>0.0981741930017792</v>
      </c>
      <c r="D30" s="37" t="n">
        <f aca="false">IFERROR(D25/D4,"")</f>
        <v>0.120529473752124</v>
      </c>
      <c r="E30" s="37" t="n">
        <f aca="false">IFERROR(E25/E4,"")</f>
        <v>0.119140924316396</v>
      </c>
    </row>
    <row r="31" customFormat="false" ht="15" hidden="false" customHeight="true" outlineLevel="0" collapsed="false">
      <c r="A31" s="47" t="s">
        <v>164</v>
      </c>
      <c r="B31" s="37" t="n">
        <f aca="false">IFERROR(-B22/B20,"")</f>
        <v>0.209235609846382</v>
      </c>
      <c r="C31" s="37" t="n">
        <f aca="false">IFERROR(-C22/C20,"")</f>
        <v>0.241892610313663</v>
      </c>
      <c r="D31" s="37" t="n">
        <f aca="false">IFERROR(-D22/D20,"")</f>
        <v>0.182161694088011</v>
      </c>
      <c r="E31" s="37" t="n">
        <f aca="false">IFERROR(-E22/E20,"")</f>
        <v>0.250321021225168</v>
      </c>
    </row>
    <row r="32" customFormat="false" ht="15" hidden="false" customHeight="true" outlineLevel="0" collapsed="false">
      <c r="A32" s="30"/>
      <c r="B32" s="30"/>
      <c r="C32" s="30"/>
      <c r="D32" s="30"/>
      <c r="E32" s="30"/>
    </row>
    <row r="33" customFormat="false" ht="15" hidden="false" customHeight="true" outlineLevel="0" collapsed="false">
      <c r="A33" s="47" t="s">
        <v>165</v>
      </c>
      <c r="B33" s="50" t="n">
        <v>6.06</v>
      </c>
      <c r="C33" s="50" t="n">
        <v>3.42</v>
      </c>
      <c r="D33" s="50" t="n">
        <v>4.24</v>
      </c>
      <c r="E33" s="50" t="n">
        <v>4.19</v>
      </c>
    </row>
    <row r="34" customFormat="false" ht="15" hidden="false" customHeight="true" outlineLevel="0" collapsed="false">
      <c r="A34" s="47" t="s">
        <v>166</v>
      </c>
      <c r="B34" s="50" t="n">
        <v>6.06</v>
      </c>
      <c r="C34" s="50" t="n">
        <v>3.42</v>
      </c>
      <c r="D34" s="50" t="n">
        <v>4.23</v>
      </c>
      <c r="E34" s="50" t="n">
        <v>4.19</v>
      </c>
    </row>
    <row r="35" customFormat="false" ht="15" hidden="false" customHeight="true" outlineLevel="0" collapsed="false">
      <c r="A35" s="30"/>
      <c r="B35" s="30"/>
      <c r="C35" s="30"/>
      <c r="D35" s="30"/>
      <c r="E35" s="30"/>
    </row>
    <row r="36" customFormat="false" ht="52.5" hidden="false" customHeight="true" outlineLevel="0" collapsed="false">
      <c r="A36" s="44" t="s">
        <v>167</v>
      </c>
      <c r="B36" s="44"/>
      <c r="C36" s="44"/>
      <c r="D36" s="44"/>
      <c r="E36" s="44"/>
    </row>
    <row r="37" customFormat="false" ht="40.5" hidden="false" customHeight="true" outlineLevel="0" collapsed="false">
      <c r="A37" s="44" t="s">
        <v>168</v>
      </c>
      <c r="B37" s="44"/>
      <c r="C37" s="44"/>
      <c r="D37" s="44"/>
      <c r="E37" s="44"/>
    </row>
    <row r="38" customFormat="false" ht="27.75" hidden="false" customHeight="true" outlineLevel="0" collapsed="false">
      <c r="A38" s="44" t="s">
        <v>169</v>
      </c>
      <c r="B38" s="44"/>
      <c r="C38" s="44"/>
      <c r="D38" s="44"/>
      <c r="E38" s="44"/>
    </row>
    <row r="39" customFormat="false" ht="27.75" hidden="false" customHeight="true" outlineLevel="0" collapsed="false">
      <c r="A39" s="44" t="s">
        <v>170</v>
      </c>
      <c r="B39" s="44"/>
      <c r="C39" s="44"/>
      <c r="D39" s="44"/>
      <c r="E39" s="44"/>
    </row>
  </sheetData>
  <mergeCells count="4">
    <mergeCell ref="A36:E36"/>
    <mergeCell ref="A37:E37"/>
    <mergeCell ref="A38:E38"/>
    <mergeCell ref="A39:E39"/>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3513D"/>
    <pageSetUpPr fitToPage="tru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3" width="58"/>
    <col collapsed="false" customWidth="true" hidden="false" outlineLevel="0" max="5" min="2" style="33" width="14"/>
  </cols>
  <sheetData>
    <row r="1" customFormat="false" ht="15" hidden="false" customHeight="true" outlineLevel="0" collapsed="false">
      <c r="A1" s="29" t="s">
        <v>171</v>
      </c>
      <c r="B1" s="30"/>
      <c r="C1" s="30"/>
      <c r="D1" s="30"/>
      <c r="E1" s="30"/>
    </row>
    <row r="2" customFormat="false" ht="15" hidden="false" customHeight="true" outlineLevel="0" collapsed="false">
      <c r="A2" s="30"/>
      <c r="B2" s="30"/>
      <c r="C2" s="30"/>
      <c r="D2" s="30"/>
      <c r="E2" s="30"/>
    </row>
    <row r="3" customFormat="false" ht="15" hidden="false" customHeight="true" outlineLevel="0" collapsed="false">
      <c r="A3" s="18" t="s">
        <v>133</v>
      </c>
      <c r="B3" s="34" t="s">
        <v>134</v>
      </c>
      <c r="C3" s="34" t="s">
        <v>135</v>
      </c>
      <c r="D3" s="34" t="s">
        <v>136</v>
      </c>
      <c r="E3" s="34" t="s">
        <v>137</v>
      </c>
    </row>
    <row r="4" customFormat="false" ht="15" hidden="false" customHeight="true" outlineLevel="0" collapsed="false">
      <c r="A4" s="51" t="s">
        <v>172</v>
      </c>
      <c r="B4" s="30"/>
      <c r="C4" s="30"/>
      <c r="D4" s="30"/>
      <c r="E4" s="30"/>
    </row>
    <row r="5" customFormat="false" ht="15" hidden="false" customHeight="true" outlineLevel="0" collapsed="false">
      <c r="A5" s="35" t="s">
        <v>173</v>
      </c>
      <c r="B5" s="49" t="n">
        <f aca="false">'1. Income_Statement'!B16</f>
        <v>11679</v>
      </c>
      <c r="C5" s="49" t="n">
        <f aca="false">'1. Income_Statement'!C16</f>
        <v>12326</v>
      </c>
      <c r="D5" s="49" t="n">
        <f aca="false">'1. Income_Statement'!D16</f>
        <v>14063</v>
      </c>
      <c r="E5" s="49" t="n">
        <f aca="false">'1. Income_Statement'!E16</f>
        <v>14724</v>
      </c>
    </row>
    <row r="6" customFormat="false" ht="15" hidden="false" customHeight="true" outlineLevel="0" collapsed="false">
      <c r="A6" s="47" t="s">
        <v>174</v>
      </c>
      <c r="B6" s="36" t="n">
        <v>3440</v>
      </c>
      <c r="C6" s="36" t="n">
        <v>3541</v>
      </c>
      <c r="D6" s="36" t="n">
        <v>3458</v>
      </c>
      <c r="E6" s="36" t="n">
        <v>3582</v>
      </c>
    </row>
    <row r="7" customFormat="false" ht="15" hidden="false" customHeight="true" outlineLevel="0" collapsed="false">
      <c r="A7" s="47" t="s">
        <v>175</v>
      </c>
      <c r="B7" s="36" t="n">
        <v>2614</v>
      </c>
      <c r="C7" s="36" t="n">
        <v>2726</v>
      </c>
      <c r="D7" s="36" t="n">
        <v>647</v>
      </c>
      <c r="E7" s="36" t="n">
        <v>580</v>
      </c>
    </row>
    <row r="8" customFormat="false" ht="15" hidden="false" customHeight="true" outlineLevel="0" collapsed="false">
      <c r="A8" s="47" t="s">
        <v>176</v>
      </c>
      <c r="B8" s="36" t="n">
        <v>-235</v>
      </c>
      <c r="C8" s="36" t="n">
        <v>79</v>
      </c>
      <c r="D8" s="36" t="n">
        <v>221</v>
      </c>
      <c r="E8" s="36" t="n">
        <v>62</v>
      </c>
    </row>
    <row r="9" customFormat="false" ht="15" hidden="false" customHeight="true" outlineLevel="0" collapsed="false">
      <c r="A9" s="47" t="s">
        <v>177</v>
      </c>
      <c r="B9" s="36" t="n">
        <v>-253</v>
      </c>
      <c r="C9" s="36" t="n">
        <v>216</v>
      </c>
      <c r="D9" s="36" t="n">
        <v>82</v>
      </c>
      <c r="E9" s="36" t="n">
        <v>-229</v>
      </c>
    </row>
    <row r="10" customFormat="false" ht="15" hidden="false" customHeight="true" outlineLevel="0" collapsed="false">
      <c r="A10" s="39" t="s">
        <v>178</v>
      </c>
      <c r="B10" s="48" t="n">
        <f aca="false">SUM(B5:B9)</f>
        <v>17245</v>
      </c>
      <c r="C10" s="48" t="n">
        <f aca="false">SUM(C5:C9)</f>
        <v>18888</v>
      </c>
      <c r="D10" s="48" t="n">
        <f aca="false">SUM(D5:D9)</f>
        <v>18471</v>
      </c>
      <c r="E10" s="48" t="n">
        <f aca="false">SUM(E5:E9)</f>
        <v>18719</v>
      </c>
    </row>
    <row r="11" customFormat="false" ht="15" hidden="false" customHeight="true" outlineLevel="0" collapsed="false">
      <c r="A11" s="47" t="s">
        <v>179</v>
      </c>
      <c r="B11" s="36" t="n">
        <v>-173</v>
      </c>
      <c r="C11" s="36" t="n">
        <v>-3133</v>
      </c>
      <c r="D11" s="36" t="n">
        <v>1134</v>
      </c>
      <c r="E11" s="36" t="n">
        <v>1208</v>
      </c>
    </row>
    <row r="12" customFormat="false" ht="15" hidden="false" customHeight="true" outlineLevel="0" collapsed="false">
      <c r="A12" s="47" t="s">
        <v>180</v>
      </c>
      <c r="B12" s="36" t="n">
        <v>-427</v>
      </c>
      <c r="C12" s="36" t="n">
        <v>-514</v>
      </c>
      <c r="D12" s="36" t="n">
        <v>-425</v>
      </c>
      <c r="E12" s="36" t="n">
        <v>-334</v>
      </c>
    </row>
    <row r="13" customFormat="false" ht="15" hidden="false" customHeight="true" outlineLevel="0" collapsed="false">
      <c r="A13" s="39" t="s">
        <v>181</v>
      </c>
      <c r="B13" s="48" t="n">
        <f aca="false">B10+B11+B12</f>
        <v>16645</v>
      </c>
      <c r="C13" s="48" t="n">
        <f aca="false">C10+C11+C12</f>
        <v>15241</v>
      </c>
      <c r="D13" s="48" t="n">
        <f aca="false">D10+D11+D12</f>
        <v>19180</v>
      </c>
      <c r="E13" s="48" t="n">
        <f aca="false">E10+E11+E12</f>
        <v>19593</v>
      </c>
    </row>
    <row r="14" customFormat="false" ht="15" hidden="false" customHeight="true" outlineLevel="0" collapsed="false">
      <c r="A14" s="47" t="s">
        <v>182</v>
      </c>
      <c r="B14" s="36" t="n">
        <v>-753</v>
      </c>
      <c r="C14" s="36" t="n">
        <v>-953</v>
      </c>
      <c r="D14" s="36" t="n">
        <v>-1330</v>
      </c>
      <c r="E14" s="36" t="n">
        <v>-1539</v>
      </c>
    </row>
    <row r="15" customFormat="false" ht="15" hidden="false" customHeight="true" outlineLevel="0" collapsed="false">
      <c r="A15" s="47" t="s">
        <v>183</v>
      </c>
      <c r="B15" s="36" t="n">
        <v>43</v>
      </c>
      <c r="C15" s="36" t="n">
        <v>118</v>
      </c>
      <c r="D15" s="36" t="n">
        <v>193</v>
      </c>
      <c r="E15" s="36" t="n">
        <v>273</v>
      </c>
    </row>
    <row r="16" customFormat="false" ht="15" hidden="false" customHeight="true" outlineLevel="0" collapsed="false">
      <c r="A16" s="47" t="s">
        <v>184</v>
      </c>
      <c r="B16" s="36" t="n">
        <v>-2722</v>
      </c>
      <c r="C16" s="36" t="n">
        <v>-3107</v>
      </c>
      <c r="D16" s="36" t="n">
        <v>-2801</v>
      </c>
      <c r="E16" s="36" t="n">
        <v>-2411</v>
      </c>
    </row>
    <row r="17" customFormat="false" ht="15" hidden="false" customHeight="true" outlineLevel="0" collapsed="false">
      <c r="A17" s="47" t="s">
        <v>185</v>
      </c>
      <c r="B17" s="36" t="n">
        <v>651</v>
      </c>
      <c r="C17" s="36" t="n">
        <v>608</v>
      </c>
      <c r="D17" s="36" t="n">
        <v>699</v>
      </c>
      <c r="E17" s="36" t="n">
        <v>759</v>
      </c>
    </row>
    <row r="18" customFormat="false" ht="15" hidden="false" customHeight="true" outlineLevel="0" collapsed="false">
      <c r="A18" s="39" t="s">
        <v>186</v>
      </c>
      <c r="B18" s="48" t="n">
        <f aca="false">B13+B14+B15+B16+B17</f>
        <v>13864</v>
      </c>
      <c r="C18" s="48" t="n">
        <f aca="false">C13+C14+C15+C16+C17</f>
        <v>11907</v>
      </c>
      <c r="D18" s="48" t="n">
        <f aca="false">D13+D14+D15+D16+D17</f>
        <v>15941</v>
      </c>
      <c r="E18" s="48" t="n">
        <f aca="false">E13+E14+E15+E16+E17</f>
        <v>16675</v>
      </c>
    </row>
    <row r="19" customFormat="false" ht="15" hidden="false" customHeight="true" outlineLevel="0" collapsed="false">
      <c r="A19" s="30"/>
      <c r="B19" s="30"/>
      <c r="C19" s="30"/>
      <c r="D19" s="30"/>
      <c r="E19" s="30"/>
    </row>
    <row r="20" customFormat="false" ht="15" hidden="false" customHeight="true" outlineLevel="0" collapsed="false">
      <c r="A20" s="51" t="s">
        <v>187</v>
      </c>
      <c r="B20" s="30"/>
      <c r="C20" s="30"/>
      <c r="D20" s="30"/>
      <c r="E20" s="30"/>
    </row>
    <row r="21" customFormat="false" ht="15" hidden="false" customHeight="true" outlineLevel="0" collapsed="false">
      <c r="A21" s="47" t="s">
        <v>188</v>
      </c>
      <c r="B21" s="36" t="n">
        <v>-4880</v>
      </c>
      <c r="C21" s="36" t="n">
        <v>-5095</v>
      </c>
      <c r="D21" s="36" t="n">
        <v>-5714</v>
      </c>
      <c r="E21" s="36" t="n">
        <v>-5638</v>
      </c>
    </row>
    <row r="22" customFormat="false" ht="15" hidden="false" customHeight="true" outlineLevel="0" collapsed="false">
      <c r="A22" s="47" t="s">
        <v>189</v>
      </c>
      <c r="B22" s="36" t="n">
        <v>-461</v>
      </c>
      <c r="C22" s="36" t="n">
        <v>-266</v>
      </c>
      <c r="D22" s="36" t="n">
        <v>-489</v>
      </c>
      <c r="E22" s="36" t="n">
        <v>-325</v>
      </c>
    </row>
    <row r="23" customFormat="false" ht="15" hidden="false" customHeight="true" outlineLevel="0" collapsed="false">
      <c r="A23" s="47" t="s">
        <v>190</v>
      </c>
      <c r="B23" s="36" t="n">
        <v>-6394</v>
      </c>
      <c r="C23" s="36" t="n">
        <v>-1710</v>
      </c>
      <c r="D23" s="36" t="n">
        <v>-211</v>
      </c>
      <c r="E23" s="36" t="n">
        <v>-809</v>
      </c>
    </row>
    <row r="24" customFormat="false" ht="15" hidden="false" customHeight="true" outlineLevel="0" collapsed="false">
      <c r="A24" s="47" t="s">
        <v>191</v>
      </c>
      <c r="B24" s="36" t="n">
        <v>3530</v>
      </c>
      <c r="C24" s="36" t="n">
        <v>160</v>
      </c>
      <c r="D24" s="36" t="n">
        <v>215</v>
      </c>
      <c r="E24" s="36" t="n">
        <v>-23</v>
      </c>
    </row>
    <row r="25" customFormat="false" ht="15" hidden="false" customHeight="true" outlineLevel="0" collapsed="false">
      <c r="A25" s="47" t="s">
        <v>192</v>
      </c>
      <c r="B25" s="36" t="n">
        <v>-715</v>
      </c>
      <c r="C25" s="36" t="n">
        <v>-918</v>
      </c>
      <c r="D25" s="36" t="n">
        <v>-582</v>
      </c>
      <c r="E25" s="36" t="n">
        <v>-532</v>
      </c>
    </row>
    <row r="26" customFormat="false" ht="15" hidden="false" customHeight="true" outlineLevel="0" collapsed="false">
      <c r="A26" s="47" t="s">
        <v>193</v>
      </c>
      <c r="B26" s="36" t="n">
        <v>9294</v>
      </c>
      <c r="C26" s="36" t="n">
        <v>0</v>
      </c>
      <c r="D26" s="36" t="n">
        <v>0</v>
      </c>
      <c r="E26" s="36" t="n">
        <v>0</v>
      </c>
    </row>
    <row r="27" customFormat="false" ht="15" hidden="false" customHeight="true" outlineLevel="0" collapsed="false">
      <c r="A27" s="47" t="s">
        <v>194</v>
      </c>
      <c r="B27" s="36" t="n">
        <v>-3610</v>
      </c>
      <c r="C27" s="36" t="n">
        <v>5902</v>
      </c>
      <c r="D27" s="36" t="n">
        <v>-80</v>
      </c>
      <c r="E27" s="36" t="n">
        <v>-1251</v>
      </c>
    </row>
    <row r="28" customFormat="false" ht="15" hidden="false" customHeight="true" outlineLevel="0" collapsed="false">
      <c r="A28" s="47" t="s">
        <v>195</v>
      </c>
      <c r="B28" s="36" t="n">
        <v>192</v>
      </c>
      <c r="C28" s="36" t="n">
        <v>24</v>
      </c>
      <c r="D28" s="36" t="n">
        <v>665</v>
      </c>
      <c r="E28" s="36" t="n">
        <v>-46</v>
      </c>
    </row>
    <row r="29" customFormat="false" ht="15" hidden="false" customHeight="true" outlineLevel="0" collapsed="false">
      <c r="A29" s="39" t="s">
        <v>196</v>
      </c>
      <c r="B29" s="48" t="n">
        <f aca="false">SUM(B21:B28)</f>
        <v>-3044</v>
      </c>
      <c r="C29" s="48" t="n">
        <f aca="false">SUM(C21:C28)</f>
        <v>-1903</v>
      </c>
      <c r="D29" s="48" t="n">
        <f aca="false">SUM(D21:D28)</f>
        <v>-6196</v>
      </c>
      <c r="E29" s="48" t="n">
        <f aca="false">SUM(E21:E28)</f>
        <v>-8624</v>
      </c>
    </row>
    <row r="30" customFormat="false" ht="15" hidden="false" customHeight="true" outlineLevel="0" collapsed="false">
      <c r="A30" s="30"/>
      <c r="B30" s="30"/>
      <c r="C30" s="30"/>
      <c r="D30" s="30"/>
      <c r="E30" s="30"/>
    </row>
    <row r="31" customFormat="false" ht="15" hidden="false" customHeight="true" outlineLevel="0" collapsed="false">
      <c r="A31" s="51" t="s">
        <v>197</v>
      </c>
      <c r="B31" s="30"/>
      <c r="C31" s="30"/>
      <c r="D31" s="30"/>
      <c r="E31" s="30"/>
    </row>
    <row r="32" customFormat="false" ht="15" hidden="false" customHeight="true" outlineLevel="0" collapsed="false">
      <c r="A32" s="47" t="s">
        <v>198</v>
      </c>
      <c r="B32" s="36" t="n">
        <v>-7681</v>
      </c>
      <c r="C32" s="36" t="n">
        <v>-7618</v>
      </c>
      <c r="D32" s="36" t="n">
        <v>-7829</v>
      </c>
      <c r="E32" s="36" t="n">
        <v>-7816</v>
      </c>
    </row>
    <row r="33" customFormat="false" ht="15" hidden="false" customHeight="true" outlineLevel="0" collapsed="false">
      <c r="A33" s="47" t="s">
        <v>199</v>
      </c>
      <c r="B33" s="36" t="n">
        <v>-302</v>
      </c>
      <c r="C33" s="36" t="n">
        <v>-284</v>
      </c>
      <c r="D33" s="36" t="n">
        <v>-323</v>
      </c>
      <c r="E33" s="36" t="n">
        <v>-174</v>
      </c>
    </row>
    <row r="34" customFormat="false" ht="15" hidden="false" customHeight="true" outlineLevel="0" collapsed="false">
      <c r="A34" s="47" t="s">
        <v>200</v>
      </c>
      <c r="B34" s="36" t="n">
        <v>-601</v>
      </c>
      <c r="C34" s="36" t="n">
        <v>-605</v>
      </c>
      <c r="D34" s="36" t="n">
        <v>-52</v>
      </c>
      <c r="E34" s="36" t="n">
        <v>-27</v>
      </c>
    </row>
    <row r="35" customFormat="false" ht="15" hidden="false" customHeight="true" outlineLevel="0" collapsed="false">
      <c r="A35" s="47" t="s">
        <v>201</v>
      </c>
      <c r="B35" s="36" t="n">
        <v>-6548</v>
      </c>
      <c r="C35" s="36" t="n">
        <v>-10679</v>
      </c>
      <c r="D35" s="36" t="n">
        <v>-5234</v>
      </c>
      <c r="E35" s="36" t="n">
        <v>-4678</v>
      </c>
    </row>
    <row r="36" customFormat="false" ht="15" hidden="false" customHeight="true" outlineLevel="0" collapsed="false">
      <c r="A36" s="47" t="s">
        <v>202</v>
      </c>
      <c r="B36" s="36" t="n">
        <v>11339</v>
      </c>
      <c r="C36" s="36" t="n">
        <v>10936</v>
      </c>
      <c r="D36" s="36" t="n">
        <v>9806</v>
      </c>
      <c r="E36" s="36" t="n">
        <v>7992</v>
      </c>
    </row>
    <row r="37" customFormat="false" ht="15" hidden="false" customHeight="true" outlineLevel="0" collapsed="false">
      <c r="A37" s="47" t="s">
        <v>203</v>
      </c>
      <c r="B37" s="36" t="n">
        <v>-4474</v>
      </c>
      <c r="C37" s="36" t="n">
        <v>-3283</v>
      </c>
      <c r="D37" s="36" t="n">
        <v>-3589</v>
      </c>
      <c r="E37" s="36" t="n">
        <v>-5055</v>
      </c>
    </row>
    <row r="38" customFormat="false" ht="15" hidden="false" customHeight="true" outlineLevel="0" collapsed="false">
      <c r="A38" s="47" t="s">
        <v>204</v>
      </c>
      <c r="B38" s="36" t="n">
        <v>-885</v>
      </c>
      <c r="C38" s="36" t="n">
        <v>148</v>
      </c>
      <c r="D38" s="36" t="n">
        <v>-2537</v>
      </c>
      <c r="E38" s="36" t="n">
        <v>2396</v>
      </c>
    </row>
    <row r="39" customFormat="false" ht="15" hidden="false" customHeight="true" outlineLevel="0" collapsed="false">
      <c r="A39" s="39" t="s">
        <v>205</v>
      </c>
      <c r="B39" s="48" t="n">
        <f aca="false">SUM(B32:B38)</f>
        <v>-9152</v>
      </c>
      <c r="C39" s="48" t="n">
        <f aca="false">SUM(C32:C38)</f>
        <v>-11385</v>
      </c>
      <c r="D39" s="48" t="n">
        <f aca="false">SUM(D32:D38)</f>
        <v>-9758</v>
      </c>
      <c r="E39" s="48" t="n">
        <f aca="false">SUM(E32:E38)</f>
        <v>-7362</v>
      </c>
    </row>
    <row r="40" customFormat="false" ht="15" hidden="false" customHeight="true" outlineLevel="0" collapsed="false">
      <c r="A40" s="30"/>
      <c r="B40" s="30"/>
      <c r="C40" s="30"/>
      <c r="D40" s="30"/>
      <c r="E40" s="30"/>
    </row>
    <row r="41" customFormat="false" ht="15" hidden="false" customHeight="true" outlineLevel="0" collapsed="false">
      <c r="A41" s="51" t="s">
        <v>206</v>
      </c>
      <c r="B41" s="30"/>
      <c r="C41" s="30"/>
      <c r="D41" s="30"/>
      <c r="E41" s="30"/>
    </row>
    <row r="42" customFormat="false" ht="15" hidden="false" customHeight="true" outlineLevel="0" collapsed="false">
      <c r="A42" s="47" t="s">
        <v>207</v>
      </c>
      <c r="B42" s="36" t="n">
        <v>89</v>
      </c>
      <c r="C42" s="36" t="n">
        <v>-100</v>
      </c>
      <c r="D42" s="36" t="n">
        <v>-682</v>
      </c>
      <c r="E42" s="36" t="n">
        <v>53</v>
      </c>
    </row>
    <row r="43" customFormat="false" ht="15" hidden="false" customHeight="true" outlineLevel="0" collapsed="false">
      <c r="A43" s="39" t="s">
        <v>208</v>
      </c>
      <c r="B43" s="48" t="n">
        <f aca="false">B18+B29+B39+B42</f>
        <v>1757</v>
      </c>
      <c r="C43" s="48" t="n">
        <f aca="false">C18+C29+C39+C42</f>
        <v>-1481</v>
      </c>
      <c r="D43" s="48" t="n">
        <f aca="false">D18+D29+D39+D42</f>
        <v>-695</v>
      </c>
      <c r="E43" s="48" t="n">
        <f aca="false">E18+E29+E39+E42</f>
        <v>742</v>
      </c>
    </row>
    <row r="44" customFormat="false" ht="15" hidden="false" customHeight="true" outlineLevel="0" collapsed="false">
      <c r="A44" s="47" t="s">
        <v>209</v>
      </c>
      <c r="B44" s="36" t="n">
        <v>5235</v>
      </c>
      <c r="C44" s="36" t="n">
        <v>6992</v>
      </c>
      <c r="D44" s="36" t="n">
        <v>5511</v>
      </c>
      <c r="E44" s="36" t="n">
        <v>4816</v>
      </c>
    </row>
    <row r="45" customFormat="false" ht="15" hidden="false" customHeight="true" outlineLevel="0" collapsed="false">
      <c r="A45" s="39" t="s">
        <v>210</v>
      </c>
      <c r="B45" s="48" t="n">
        <f aca="false">B44+B43</f>
        <v>6992</v>
      </c>
      <c r="C45" s="48" t="n">
        <f aca="false">C44+C43</f>
        <v>5511</v>
      </c>
      <c r="D45" s="48" t="n">
        <f aca="false">D44+D43</f>
        <v>4816</v>
      </c>
      <c r="E45" s="48" t="n">
        <f aca="false">E44+E43</f>
        <v>5558</v>
      </c>
    </row>
    <row r="46" customFormat="false" ht="15" hidden="false" customHeight="true" outlineLevel="0" collapsed="false">
      <c r="A46" s="47" t="s">
        <v>211</v>
      </c>
      <c r="B46" s="36" t="n">
        <v>-4</v>
      </c>
      <c r="C46" s="36" t="n">
        <v>0</v>
      </c>
      <c r="D46" s="36" t="n">
        <v>0</v>
      </c>
      <c r="E46" s="36" t="n">
        <v>-2</v>
      </c>
    </row>
    <row r="47" customFormat="false" ht="15" hidden="false" customHeight="true" outlineLevel="0" collapsed="false">
      <c r="A47" s="39" t="s">
        <v>212</v>
      </c>
      <c r="B47" s="48" t="n">
        <f aca="false">B45+B46</f>
        <v>6988</v>
      </c>
      <c r="C47" s="48" t="n">
        <f aca="false">C45+C46</f>
        <v>5511</v>
      </c>
      <c r="D47" s="48" t="n">
        <f aca="false">D45+D46</f>
        <v>4816</v>
      </c>
      <c r="E47" s="48" t="n">
        <f aca="false">E45+E46</f>
        <v>5556</v>
      </c>
    </row>
    <row r="48" customFormat="false" ht="15" hidden="false" customHeight="true" outlineLevel="0" collapsed="false">
      <c r="A48" s="30"/>
      <c r="B48" s="30"/>
      <c r="C48" s="30"/>
      <c r="D48" s="30"/>
      <c r="E48" s="30"/>
    </row>
    <row r="49" customFormat="false" ht="15" hidden="false" customHeight="true" outlineLevel="0" collapsed="false">
      <c r="A49" s="51" t="s">
        <v>213</v>
      </c>
      <c r="B49" s="30"/>
      <c r="C49" s="30"/>
      <c r="D49" s="30"/>
      <c r="E49" s="30"/>
    </row>
    <row r="50" customFormat="false" ht="15" hidden="false" customHeight="true" outlineLevel="0" collapsed="false">
      <c r="A50" s="47" t="s">
        <v>214</v>
      </c>
      <c r="B50" s="36" t="n">
        <v>8700</v>
      </c>
      <c r="C50" s="36" t="n">
        <v>6600</v>
      </c>
      <c r="D50" s="36" t="n">
        <v>10403</v>
      </c>
      <c r="E50" s="36" t="n">
        <v>10666</v>
      </c>
    </row>
    <row r="51" customFormat="false" ht="15" hidden="false" customHeight="true" outlineLevel="0" collapsed="false">
      <c r="A51" s="39" t="s">
        <v>215</v>
      </c>
      <c r="B51" s="48" t="n">
        <f aca="false">B18+B21+B22</f>
        <v>8523</v>
      </c>
      <c r="C51" s="48" t="n">
        <f aca="false">C18+C21+C22</f>
        <v>6546</v>
      </c>
      <c r="D51" s="48" t="n">
        <f aca="false">D18+D21+D22</f>
        <v>9738</v>
      </c>
      <c r="E51" s="48" t="n">
        <f aca="false">E18+E21+E22</f>
        <v>10712</v>
      </c>
    </row>
    <row r="52" customFormat="false" ht="15" hidden="false" customHeight="true" outlineLevel="0" collapsed="false">
      <c r="A52" s="35" t="s">
        <v>216</v>
      </c>
      <c r="B52" s="52" t="n">
        <f aca="false">IFERROR(B50/'1. Income_Statement'!B4,"")</f>
        <v>0.0998989527833915</v>
      </c>
      <c r="C52" s="52" t="n">
        <f aca="false">IFERROR(C50/'1. Income_Statement'!C4,"")</f>
        <v>0.0698974836905871</v>
      </c>
      <c r="D52" s="52" t="n">
        <f aca="false">IFERROR(D50/'1. Income_Statement'!D4,"")</f>
        <v>0.11186262070152</v>
      </c>
      <c r="E52" s="52" t="n">
        <f aca="false">IFERROR(E50/'1. Income_Statement'!E4,"")</f>
        <v>0.11675460297305</v>
      </c>
    </row>
    <row r="53" customFormat="false" ht="15" hidden="false" customHeight="true" outlineLevel="0" collapsed="false">
      <c r="A53" s="30"/>
      <c r="B53" s="30"/>
      <c r="C53" s="30"/>
      <c r="D53" s="30"/>
      <c r="E53" s="30"/>
    </row>
    <row r="54" customFormat="false" ht="27.75" hidden="false" customHeight="true" outlineLevel="0" collapsed="false">
      <c r="A54" s="44" t="s">
        <v>217</v>
      </c>
      <c r="B54" s="44"/>
      <c r="C54" s="44"/>
      <c r="D54" s="44"/>
      <c r="E54" s="44"/>
    </row>
    <row r="55" customFormat="false" ht="40.5" hidden="false" customHeight="true" outlineLevel="0" collapsed="false">
      <c r="A55" s="44" t="s">
        <v>218</v>
      </c>
      <c r="B55" s="44"/>
      <c r="C55" s="44"/>
      <c r="D55" s="44"/>
      <c r="E55" s="44"/>
    </row>
    <row r="56" customFormat="false" ht="15" hidden="false" customHeight="true" outlineLevel="0" collapsed="false">
      <c r="A56" s="44" t="s">
        <v>219</v>
      </c>
      <c r="B56" s="44"/>
      <c r="C56" s="44"/>
      <c r="D56" s="44"/>
      <c r="E56" s="44"/>
    </row>
    <row r="57" customFormat="false" ht="27.75" hidden="false" customHeight="true" outlineLevel="0" collapsed="false">
      <c r="A57" s="44" t="s">
        <v>220</v>
      </c>
      <c r="B57" s="44"/>
      <c r="C57" s="44"/>
      <c r="D57" s="44"/>
      <c r="E57" s="44"/>
    </row>
  </sheetData>
  <mergeCells count="4">
    <mergeCell ref="A54:E54"/>
    <mergeCell ref="A55:E55"/>
    <mergeCell ref="A56:E56"/>
    <mergeCell ref="A57:E57"/>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8B6D"/>
    <pageSetUpPr fitToPage="true"/>
  </sheetPr>
  <dimension ref="A1:E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3" width="46"/>
    <col collapsed="false" customWidth="true" hidden="false" outlineLevel="0" max="4" min="2" style="33" width="11"/>
    <col collapsed="false" customWidth="true" hidden="false" outlineLevel="0" max="5" min="5" style="33" width="100"/>
  </cols>
  <sheetData>
    <row r="1" customFormat="false" ht="15" hidden="false" customHeight="true" outlineLevel="0" collapsed="false">
      <c r="A1" s="29" t="s">
        <v>221</v>
      </c>
      <c r="B1" s="30"/>
      <c r="C1" s="30"/>
      <c r="D1" s="30"/>
      <c r="E1" s="30"/>
    </row>
    <row r="2" customFormat="false" ht="15" hidden="false" customHeight="true" outlineLevel="0" collapsed="false">
      <c r="A2" s="30"/>
      <c r="B2" s="30"/>
      <c r="C2" s="30"/>
      <c r="D2" s="30"/>
      <c r="E2" s="30"/>
    </row>
    <row r="3" customFormat="false" ht="30" hidden="false" customHeight="true" outlineLevel="0" collapsed="false">
      <c r="A3" s="18" t="s">
        <v>222</v>
      </c>
      <c r="B3" s="34" t="s">
        <v>223</v>
      </c>
      <c r="C3" s="34" t="s">
        <v>224</v>
      </c>
      <c r="D3" s="34" t="s">
        <v>225</v>
      </c>
      <c r="E3" s="34" t="s">
        <v>226</v>
      </c>
    </row>
    <row r="4" customFormat="false" ht="18" hidden="false" customHeight="true" outlineLevel="0" collapsed="false">
      <c r="A4" s="53" t="s">
        <v>227</v>
      </c>
      <c r="B4" s="53"/>
      <c r="C4" s="53"/>
      <c r="D4" s="53"/>
      <c r="E4" s="53"/>
    </row>
    <row r="5" customFormat="false" ht="78.75" hidden="false" customHeight="true" outlineLevel="0" collapsed="false">
      <c r="A5" s="54" t="s">
        <v>228</v>
      </c>
      <c r="B5" s="55" t="n">
        <v>0.005</v>
      </c>
      <c r="C5" s="55" t="n">
        <v>0.015</v>
      </c>
      <c r="D5" s="55" t="n">
        <v>0.025</v>
      </c>
      <c r="E5" s="56" t="s">
        <v>229</v>
      </c>
    </row>
    <row r="6" customFormat="false" ht="54" hidden="false" customHeight="true" outlineLevel="0" collapsed="false">
      <c r="A6" s="54" t="s">
        <v>230</v>
      </c>
      <c r="B6" s="57" t="n">
        <f aca="false">C6</f>
        <v>0.015</v>
      </c>
      <c r="C6" s="55" t="n">
        <v>0.015</v>
      </c>
      <c r="D6" s="57" t="n">
        <f aca="false">C6</f>
        <v>0.015</v>
      </c>
      <c r="E6" s="56" t="s">
        <v>231</v>
      </c>
    </row>
    <row r="7" customFormat="false" ht="91.5" hidden="false" customHeight="true" outlineLevel="0" collapsed="false">
      <c r="A7" s="54" t="s">
        <v>232</v>
      </c>
      <c r="B7" s="58" t="n">
        <f aca="false">'2. Assumptions_FY2025'!B5+'2. Assumptions_FY2025'!B6</f>
        <v>0.02</v>
      </c>
      <c r="C7" s="58" t="n">
        <f aca="false">'2. Assumptions_FY2025'!C5+'2. Assumptions_FY2025'!C6</f>
        <v>0.03</v>
      </c>
      <c r="D7" s="58" t="n">
        <f aca="false">'2. Assumptions_FY2025'!D5+'2. Assumptions_FY2025'!D6</f>
        <v>0.04</v>
      </c>
      <c r="E7" s="56" t="s">
        <v>233</v>
      </c>
    </row>
    <row r="8" customFormat="false" ht="28.5" hidden="false" customHeight="true" outlineLevel="0" collapsed="false">
      <c r="A8" s="54" t="s">
        <v>234</v>
      </c>
      <c r="B8" s="57" t="n">
        <f aca="false">C8</f>
        <v>0</v>
      </c>
      <c r="C8" s="55" t="n">
        <v>0</v>
      </c>
      <c r="D8" s="57" t="n">
        <f aca="false">C8</f>
        <v>0</v>
      </c>
      <c r="E8" s="56" t="s">
        <v>235</v>
      </c>
    </row>
    <row r="9" customFormat="false" ht="54" hidden="false" customHeight="true" outlineLevel="0" collapsed="false">
      <c r="A9" s="54" t="s">
        <v>236</v>
      </c>
      <c r="B9" s="55" t="n">
        <v>-0.04</v>
      </c>
      <c r="C9" s="55" t="n">
        <v>0</v>
      </c>
      <c r="D9" s="55" t="n">
        <v>0.02</v>
      </c>
      <c r="E9" s="56" t="s">
        <v>237</v>
      </c>
    </row>
    <row r="10" customFormat="false" ht="18" hidden="false" customHeight="true" outlineLevel="0" collapsed="false">
      <c r="A10" s="54" t="s">
        <v>238</v>
      </c>
      <c r="B10" s="58" t="n">
        <f aca="false">'2. Assumptions_FY2025'!B7+'2. Assumptions_FY2025'!B8+'2. Assumptions_FY2025'!B9</f>
        <v>-0.02</v>
      </c>
      <c r="C10" s="58" t="n">
        <f aca="false">'2. Assumptions_FY2025'!C7+'2. Assumptions_FY2025'!C8+'2. Assumptions_FY2025'!C9</f>
        <v>0.03</v>
      </c>
      <c r="D10" s="58" t="n">
        <f aca="false">'2. Assumptions_FY2025'!D7+'2. Assumptions_FY2025'!D8+'2. Assumptions_FY2025'!D9</f>
        <v>0.06</v>
      </c>
      <c r="E10" s="56" t="s">
        <v>239</v>
      </c>
    </row>
    <row r="11" customFormat="false" ht="28.5" hidden="false" customHeight="true" outlineLevel="0" collapsed="false">
      <c r="A11" s="54" t="s">
        <v>240</v>
      </c>
      <c r="B11" s="57" t="n">
        <f aca="false">C11</f>
        <v>0.004</v>
      </c>
      <c r="C11" s="55" t="n">
        <v>0.004</v>
      </c>
      <c r="D11" s="57" t="n">
        <f aca="false">C11</f>
        <v>0.004</v>
      </c>
      <c r="E11" s="56" t="s">
        <v>241</v>
      </c>
    </row>
    <row r="12" customFormat="false" ht="54" hidden="false" customHeight="true" outlineLevel="0" collapsed="false">
      <c r="A12" s="54" t="s">
        <v>242</v>
      </c>
      <c r="B12" s="55" t="n">
        <v>0.539</v>
      </c>
      <c r="C12" s="55" t="n">
        <v>0.529</v>
      </c>
      <c r="D12" s="55" t="n">
        <v>0.519</v>
      </c>
      <c r="E12" s="56" t="s">
        <v>243</v>
      </c>
    </row>
    <row r="13" customFormat="false" ht="28.5" hidden="false" customHeight="true" outlineLevel="0" collapsed="false">
      <c r="A13" s="54" t="s">
        <v>244</v>
      </c>
      <c r="B13" s="57" t="n">
        <f aca="false">C13</f>
        <v>0.082</v>
      </c>
      <c r="C13" s="55" t="n">
        <v>0.082</v>
      </c>
      <c r="D13" s="57" t="n">
        <f aca="false">C13</f>
        <v>0.082</v>
      </c>
      <c r="E13" s="56" t="s">
        <v>245</v>
      </c>
    </row>
    <row r="14" customFormat="false" ht="66" hidden="false" customHeight="true" outlineLevel="0" collapsed="false">
      <c r="A14" s="54" t="s">
        <v>246</v>
      </c>
      <c r="B14" s="55" t="n">
        <v>0.214</v>
      </c>
      <c r="C14" s="55" t="n">
        <v>0.209</v>
      </c>
      <c r="D14" s="55" t="n">
        <v>0.204</v>
      </c>
      <c r="E14" s="56" t="s">
        <v>247</v>
      </c>
    </row>
    <row r="15" customFormat="false" ht="28.5" hidden="false" customHeight="true" outlineLevel="0" collapsed="false">
      <c r="A15" s="54" t="s">
        <v>248</v>
      </c>
      <c r="B15" s="57" t="n">
        <f aca="false">C15</f>
        <v>0.018</v>
      </c>
      <c r="C15" s="55" t="n">
        <v>0.018</v>
      </c>
      <c r="D15" s="57" t="n">
        <f aca="false">C15</f>
        <v>0.018</v>
      </c>
      <c r="E15" s="56" t="s">
        <v>249</v>
      </c>
    </row>
    <row r="16" customFormat="false" ht="28.5" hidden="false" customHeight="true" outlineLevel="0" collapsed="false">
      <c r="A16" s="54" t="s">
        <v>250</v>
      </c>
      <c r="B16" s="58" t="n">
        <f aca="false">1+'2. Assumptions_FY2025'!B11-'2. Assumptions_FY2025'!B12-'2. Assumptions_FY2025'!B13-'2. Assumptions_FY2025'!B14-'2. Assumptions_FY2025'!B15</f>
        <v>0.151</v>
      </c>
      <c r="C16" s="58" t="n">
        <f aca="false">1+'2. Assumptions_FY2025'!C11-'2. Assumptions_FY2025'!C12-'2. Assumptions_FY2025'!C13-'2. Assumptions_FY2025'!C14-'2. Assumptions_FY2025'!C15</f>
        <v>0.166</v>
      </c>
      <c r="D16" s="58" t="n">
        <f aca="false">1+'2. Assumptions_FY2025'!D11-'2. Assumptions_FY2025'!D12-'2. Assumptions_FY2025'!D13-'2. Assumptions_FY2025'!D14-'2. Assumptions_FY2025'!D15</f>
        <v>0.181</v>
      </c>
      <c r="E16" s="56" t="s">
        <v>251</v>
      </c>
    </row>
    <row r="17" customFormat="false" ht="54" hidden="false" customHeight="true" outlineLevel="0" collapsed="false">
      <c r="A17" s="54" t="s">
        <v>252</v>
      </c>
      <c r="B17" s="55" t="n">
        <v>-0.019</v>
      </c>
      <c r="C17" s="55" t="n">
        <v>-0.014</v>
      </c>
      <c r="D17" s="55" t="n">
        <v>-0.009</v>
      </c>
      <c r="E17" s="56" t="s">
        <v>253</v>
      </c>
    </row>
    <row r="18" customFormat="false" ht="28.5" hidden="false" customHeight="true" outlineLevel="0" collapsed="false">
      <c r="A18" s="54" t="s">
        <v>254</v>
      </c>
      <c r="B18" s="57" t="n">
        <f aca="false">C18</f>
        <v>-0.002</v>
      </c>
      <c r="C18" s="55" t="n">
        <v>-0.002</v>
      </c>
      <c r="D18" s="57" t="n">
        <f aca="false">C18</f>
        <v>-0.002</v>
      </c>
      <c r="E18" s="56" t="s">
        <v>255</v>
      </c>
    </row>
    <row r="19" customFormat="false" ht="18" hidden="false" customHeight="true" outlineLevel="0" collapsed="false">
      <c r="A19" s="54" t="s">
        <v>256</v>
      </c>
      <c r="B19" s="57" t="n">
        <f aca="false">C19</f>
        <v>0</v>
      </c>
      <c r="C19" s="55" t="n">
        <v>0</v>
      </c>
      <c r="D19" s="57" t="n">
        <f aca="false">C19</f>
        <v>0</v>
      </c>
      <c r="E19" s="56" t="s">
        <v>257</v>
      </c>
    </row>
    <row r="20" customFormat="false" ht="78.75" hidden="false" customHeight="true" outlineLevel="0" collapsed="false">
      <c r="A20" s="54" t="s">
        <v>258</v>
      </c>
      <c r="B20" s="55" t="n">
        <v>0.15</v>
      </c>
      <c r="C20" s="55" t="n">
        <v>0.05</v>
      </c>
      <c r="D20" s="55" t="n">
        <v>-0.05</v>
      </c>
      <c r="E20" s="56" t="s">
        <v>259</v>
      </c>
    </row>
    <row r="21" customFormat="false" ht="54" hidden="false" customHeight="true" outlineLevel="0" collapsed="false">
      <c r="A21" s="54" t="s">
        <v>260</v>
      </c>
      <c r="B21" s="55" t="n">
        <v>-0.02</v>
      </c>
      <c r="C21" s="55" t="n">
        <v>0.08</v>
      </c>
      <c r="D21" s="55" t="n">
        <v>0.18</v>
      </c>
      <c r="E21" s="56" t="s">
        <v>261</v>
      </c>
    </row>
    <row r="22" customFormat="false" ht="41.25" hidden="false" customHeight="true" outlineLevel="0" collapsed="false">
      <c r="A22" s="54" t="s">
        <v>262</v>
      </c>
      <c r="B22" s="55" t="n">
        <v>0.26</v>
      </c>
      <c r="C22" s="55" t="n">
        <v>0.24</v>
      </c>
      <c r="D22" s="55" t="n">
        <v>0.22</v>
      </c>
      <c r="E22" s="56" t="s">
        <v>263</v>
      </c>
    </row>
    <row r="23" customFormat="false" ht="28.5" hidden="false" customHeight="true" outlineLevel="0" collapsed="false">
      <c r="A23" s="54" t="s">
        <v>264</v>
      </c>
      <c r="B23" s="57" t="n">
        <f aca="false">C23</f>
        <v>0.026</v>
      </c>
      <c r="C23" s="55" t="n">
        <v>0.026</v>
      </c>
      <c r="D23" s="57" t="n">
        <f aca="false">C23</f>
        <v>0.026</v>
      </c>
      <c r="E23" s="56" t="s">
        <v>265</v>
      </c>
    </row>
    <row r="24" customFormat="false" ht="41.25" hidden="false" customHeight="true" outlineLevel="0" collapsed="false">
      <c r="A24" s="54" t="s">
        <v>266</v>
      </c>
      <c r="B24" s="59" t="n">
        <f aca="false">C24</f>
        <v>2554.7</v>
      </c>
      <c r="C24" s="60" t="n">
        <v>2554.7</v>
      </c>
      <c r="D24" s="59" t="n">
        <f aca="false">C24</f>
        <v>2554.7</v>
      </c>
      <c r="E24" s="56" t="s">
        <v>267</v>
      </c>
    </row>
    <row r="25" customFormat="false" ht="15" hidden="false" customHeight="true" outlineLevel="0" collapsed="false">
      <c r="A25" s="61"/>
      <c r="B25" s="62"/>
      <c r="C25" s="62"/>
      <c r="D25" s="62"/>
      <c r="E25" s="61"/>
    </row>
    <row r="26" customFormat="false" ht="18" hidden="false" customHeight="true" outlineLevel="0" collapsed="false">
      <c r="A26" s="53" t="s">
        <v>268</v>
      </c>
      <c r="B26" s="53"/>
      <c r="C26" s="53"/>
      <c r="D26" s="53"/>
      <c r="E26" s="53"/>
    </row>
    <row r="27" customFormat="false" ht="28.5" hidden="false" customHeight="true" outlineLevel="0" collapsed="false">
      <c r="A27" s="54" t="s">
        <v>269</v>
      </c>
      <c r="B27" s="57" t="n">
        <f aca="false">C27</f>
        <v>0.039</v>
      </c>
      <c r="C27" s="55" t="n">
        <v>0.039</v>
      </c>
      <c r="D27" s="57" t="n">
        <f aca="false">C27</f>
        <v>0.039</v>
      </c>
      <c r="E27" s="56" t="s">
        <v>270</v>
      </c>
    </row>
    <row r="28" customFormat="false" ht="41.25" hidden="false" customHeight="true" outlineLevel="0" collapsed="false">
      <c r="A28" s="54" t="s">
        <v>271</v>
      </c>
      <c r="B28" s="63" t="n">
        <f aca="false">C28</f>
        <v>580</v>
      </c>
      <c r="C28" s="64" t="n">
        <v>580</v>
      </c>
      <c r="D28" s="63" t="n">
        <f aca="false">C28</f>
        <v>580</v>
      </c>
      <c r="E28" s="56" t="s">
        <v>272</v>
      </c>
    </row>
    <row r="29" customFormat="false" ht="41.25" hidden="false" customHeight="true" outlineLevel="0" collapsed="false">
      <c r="A29" s="54" t="s">
        <v>273</v>
      </c>
      <c r="B29" s="63" t="n">
        <f aca="false">C29</f>
        <v>0</v>
      </c>
      <c r="C29" s="64" t="n">
        <v>0</v>
      </c>
      <c r="D29" s="63" t="n">
        <f aca="false">C29</f>
        <v>0</v>
      </c>
      <c r="E29" s="56" t="s">
        <v>274</v>
      </c>
    </row>
    <row r="30" customFormat="false" ht="54" hidden="false" customHeight="true" outlineLevel="0" collapsed="false">
      <c r="A30" s="54" t="s">
        <v>275</v>
      </c>
      <c r="B30" s="64" t="n">
        <v>-1000</v>
      </c>
      <c r="C30" s="64" t="n">
        <v>0</v>
      </c>
      <c r="D30" s="64" t="n">
        <v>1000</v>
      </c>
      <c r="E30" s="56" t="s">
        <v>276</v>
      </c>
    </row>
    <row r="31" customFormat="false" ht="28.5" hidden="false" customHeight="true" outlineLevel="0" collapsed="false">
      <c r="A31" s="54" t="s">
        <v>277</v>
      </c>
      <c r="B31" s="57" t="n">
        <f aca="false">C31</f>
        <v>0.835</v>
      </c>
      <c r="C31" s="55" t="n">
        <v>0.835</v>
      </c>
      <c r="D31" s="57" t="n">
        <f aca="false">C31</f>
        <v>0.835</v>
      </c>
      <c r="E31" s="56" t="s">
        <v>278</v>
      </c>
    </row>
    <row r="32" customFormat="false" ht="28.5" hidden="false" customHeight="true" outlineLevel="0" collapsed="false">
      <c r="A32" s="54" t="s">
        <v>279</v>
      </c>
      <c r="B32" s="57" t="n">
        <f aca="false">C32</f>
        <v>0.763</v>
      </c>
      <c r="C32" s="55" t="n">
        <v>0.763</v>
      </c>
      <c r="D32" s="57" t="n">
        <f aca="false">C32</f>
        <v>0.763</v>
      </c>
      <c r="E32" s="56" t="s">
        <v>280</v>
      </c>
    </row>
    <row r="33" customFormat="false" ht="41.25" hidden="false" customHeight="true" outlineLevel="0" collapsed="false">
      <c r="A33" s="54" t="s">
        <v>281</v>
      </c>
      <c r="B33" s="57" t="n">
        <f aca="false">C33</f>
        <v>0.727</v>
      </c>
      <c r="C33" s="55" t="n">
        <v>0.727</v>
      </c>
      <c r="D33" s="57" t="n">
        <f aca="false">C33</f>
        <v>0.727</v>
      </c>
      <c r="E33" s="56" t="s">
        <v>282</v>
      </c>
    </row>
    <row r="34" customFormat="false" ht="28.5" hidden="false" customHeight="true" outlineLevel="0" collapsed="false">
      <c r="A34" s="54" t="s">
        <v>283</v>
      </c>
      <c r="B34" s="57" t="n">
        <f aca="false">C34</f>
        <v>0.608</v>
      </c>
      <c r="C34" s="55" t="n">
        <v>0.608</v>
      </c>
      <c r="D34" s="57" t="n">
        <f aca="false">C34</f>
        <v>0.608</v>
      </c>
      <c r="E34" s="56" t="s">
        <v>284</v>
      </c>
    </row>
    <row r="35" customFormat="false" ht="41.25" hidden="false" customHeight="true" outlineLevel="0" collapsed="false">
      <c r="A35" s="54" t="s">
        <v>285</v>
      </c>
      <c r="B35" s="55" t="n">
        <v>0.067</v>
      </c>
      <c r="C35" s="55" t="n">
        <v>0.062</v>
      </c>
      <c r="D35" s="55" t="n">
        <v>0.057</v>
      </c>
      <c r="E35" s="56" t="s">
        <v>286</v>
      </c>
    </row>
    <row r="36" customFormat="false" ht="18" hidden="false" customHeight="true" outlineLevel="0" collapsed="false">
      <c r="A36" s="54" t="s">
        <v>287</v>
      </c>
      <c r="B36" s="57" t="n">
        <f aca="false">C36</f>
        <v>0.004</v>
      </c>
      <c r="C36" s="55" t="n">
        <v>0.004</v>
      </c>
      <c r="D36" s="57" t="n">
        <f aca="false">C36</f>
        <v>0.004</v>
      </c>
      <c r="E36" s="56" t="s">
        <v>288</v>
      </c>
    </row>
    <row r="37" customFormat="false" ht="28.5" hidden="false" customHeight="true" outlineLevel="0" collapsed="false">
      <c r="A37" s="54" t="s">
        <v>289</v>
      </c>
      <c r="B37" s="63" t="n">
        <f aca="false">C37</f>
        <v>0</v>
      </c>
      <c r="C37" s="64" t="n">
        <v>0</v>
      </c>
      <c r="D37" s="63" t="n">
        <f aca="false">C37</f>
        <v>0</v>
      </c>
      <c r="E37" s="56" t="s">
        <v>290</v>
      </c>
    </row>
    <row r="38" customFormat="false" ht="28.5" hidden="false" customHeight="true" outlineLevel="0" collapsed="false">
      <c r="A38" s="54" t="s">
        <v>291</v>
      </c>
      <c r="B38" s="57" t="n">
        <f aca="false">C38</f>
        <v>-0.006</v>
      </c>
      <c r="C38" s="55" t="n">
        <v>-0.006</v>
      </c>
      <c r="D38" s="57" t="n">
        <f aca="false">C38</f>
        <v>-0.006</v>
      </c>
      <c r="E38" s="56" t="s">
        <v>292</v>
      </c>
    </row>
    <row r="39" customFormat="false" ht="28.5" hidden="false" customHeight="true" outlineLevel="0" collapsed="false">
      <c r="A39" s="54" t="s">
        <v>293</v>
      </c>
      <c r="B39" s="63" t="n">
        <f aca="false">C39</f>
        <v>0</v>
      </c>
      <c r="C39" s="64" t="n">
        <v>0</v>
      </c>
      <c r="D39" s="63" t="n">
        <f aca="false">C39</f>
        <v>0</v>
      </c>
      <c r="E39" s="56" t="s">
        <v>294</v>
      </c>
    </row>
    <row r="40" customFormat="false" ht="41.25" hidden="false" customHeight="true" outlineLevel="0" collapsed="false">
      <c r="A40" s="54" t="s">
        <v>295</v>
      </c>
      <c r="B40" s="63" t="n">
        <f aca="false">C40</f>
        <v>0</v>
      </c>
      <c r="C40" s="64" t="n">
        <v>0</v>
      </c>
      <c r="D40" s="63" t="n">
        <f aca="false">C40</f>
        <v>0</v>
      </c>
      <c r="E40" s="56" t="s">
        <v>296</v>
      </c>
    </row>
    <row r="41" customFormat="false" ht="54" hidden="false" customHeight="true" outlineLevel="0" collapsed="false">
      <c r="A41" s="54" t="s">
        <v>297</v>
      </c>
      <c r="B41" s="57" t="n">
        <f aca="false">C41</f>
        <v>0.02</v>
      </c>
      <c r="C41" s="55" t="n">
        <v>0.02</v>
      </c>
      <c r="D41" s="57" t="n">
        <f aca="false">C41</f>
        <v>0.02</v>
      </c>
      <c r="E41" s="56" t="s">
        <v>298</v>
      </c>
    </row>
    <row r="42" customFormat="false" ht="28.5" hidden="false" customHeight="true" outlineLevel="0" collapsed="false">
      <c r="A42" s="54" t="s">
        <v>299</v>
      </c>
      <c r="B42" s="63" t="n">
        <f aca="false">C42</f>
        <v>-174</v>
      </c>
      <c r="C42" s="64" t="n">
        <v>-174</v>
      </c>
      <c r="D42" s="63" t="n">
        <f aca="false">C42</f>
        <v>-174</v>
      </c>
      <c r="E42" s="56" t="s">
        <v>300</v>
      </c>
    </row>
    <row r="43" customFormat="false" ht="28.5" hidden="false" customHeight="true" outlineLevel="0" collapsed="false">
      <c r="A43" s="54" t="s">
        <v>301</v>
      </c>
      <c r="B43" s="63" t="n">
        <f aca="false">C43</f>
        <v>0</v>
      </c>
      <c r="C43" s="64" t="n">
        <v>0</v>
      </c>
      <c r="D43" s="63" t="n">
        <f aca="false">C43</f>
        <v>0</v>
      </c>
      <c r="E43" s="56" t="s">
        <v>302</v>
      </c>
    </row>
    <row r="44" customFormat="false" ht="41.25" hidden="false" customHeight="true" outlineLevel="0" collapsed="false">
      <c r="A44" s="54" t="s">
        <v>303</v>
      </c>
      <c r="B44" s="63" t="n">
        <f aca="false">C44</f>
        <v>0</v>
      </c>
      <c r="C44" s="64" t="n">
        <v>0</v>
      </c>
      <c r="D44" s="63" t="n">
        <f aca="false">C44</f>
        <v>0</v>
      </c>
      <c r="E44" s="56" t="s">
        <v>304</v>
      </c>
    </row>
    <row r="45" customFormat="false" ht="28.5" hidden="false" customHeight="true" outlineLevel="0" collapsed="false">
      <c r="A45" s="54" t="s">
        <v>305</v>
      </c>
      <c r="B45" s="63" t="n">
        <f aca="false">C45</f>
        <v>7992</v>
      </c>
      <c r="C45" s="64" t="n">
        <v>7992</v>
      </c>
      <c r="D45" s="63" t="n">
        <f aca="false">C45</f>
        <v>7992</v>
      </c>
      <c r="E45" s="56" t="s">
        <v>306</v>
      </c>
    </row>
    <row r="46" customFormat="false" ht="41.25" hidden="false" customHeight="true" outlineLevel="0" collapsed="false">
      <c r="A46" s="54" t="s">
        <v>307</v>
      </c>
      <c r="B46" s="63" t="n">
        <f aca="false">C46</f>
        <v>-5055</v>
      </c>
      <c r="C46" s="64" t="n">
        <v>-5055</v>
      </c>
      <c r="D46" s="63" t="n">
        <f aca="false">C46</f>
        <v>-5055</v>
      </c>
      <c r="E46" s="56" t="s">
        <v>308</v>
      </c>
    </row>
    <row r="47" customFormat="false" ht="28.5" hidden="false" customHeight="true" outlineLevel="0" collapsed="false">
      <c r="A47" s="54" t="s">
        <v>309</v>
      </c>
      <c r="B47" s="63" t="n">
        <f aca="false">C47</f>
        <v>0</v>
      </c>
      <c r="C47" s="64" t="n">
        <v>0</v>
      </c>
      <c r="D47" s="63" t="n">
        <f aca="false">C47</f>
        <v>0</v>
      </c>
      <c r="E47" s="56" t="s">
        <v>310</v>
      </c>
    </row>
    <row r="48" customFormat="false" ht="28.5" hidden="false" customHeight="true" outlineLevel="0" collapsed="false">
      <c r="A48" s="54" t="s">
        <v>311</v>
      </c>
      <c r="B48" s="63" t="n">
        <f aca="false">C48</f>
        <v>0</v>
      </c>
      <c r="C48" s="64" t="n">
        <v>0</v>
      </c>
      <c r="D48" s="63" t="n">
        <f aca="false">C48</f>
        <v>0</v>
      </c>
      <c r="E48" s="56" t="s">
        <v>312</v>
      </c>
    </row>
    <row r="49" customFormat="false" ht="15" hidden="false" customHeight="true" outlineLevel="0" collapsed="false">
      <c r="A49" s="61"/>
      <c r="B49" s="62"/>
      <c r="C49" s="62"/>
      <c r="D49" s="62"/>
      <c r="E49" s="61"/>
    </row>
    <row r="50" customFormat="false" ht="27.75" hidden="false" customHeight="true" outlineLevel="0" collapsed="false">
      <c r="A50" s="44" t="s">
        <v>313</v>
      </c>
      <c r="B50" s="44"/>
      <c r="C50" s="44"/>
      <c r="D50" s="44"/>
      <c r="E50" s="44"/>
    </row>
  </sheetData>
  <mergeCells count="1">
    <mergeCell ref="A50:E50"/>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38B6D"/>
    <pageSetUpPr fitToPage="true"/>
  </sheetPr>
  <dimension ref="A1:F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33" width="58"/>
    <col collapsed="false" customWidth="true" hidden="false" outlineLevel="0" max="3" min="2" style="33" width="14"/>
    <col collapsed="false" customWidth="true" hidden="false" outlineLevel="0" max="5" min="4" style="33" width="15"/>
    <col collapsed="false" customWidth="true" hidden="false" outlineLevel="0" max="6" min="6" style="33" width="14"/>
  </cols>
  <sheetData>
    <row r="1" customFormat="false" ht="15" hidden="false" customHeight="true" outlineLevel="0" collapsed="false">
      <c r="A1" s="29" t="s">
        <v>314</v>
      </c>
      <c r="B1" s="30"/>
      <c r="C1" s="30"/>
      <c r="D1" s="30"/>
      <c r="E1" s="30"/>
      <c r="F1" s="30"/>
    </row>
    <row r="2" customFormat="false" ht="15" hidden="false" customHeight="true" outlineLevel="0" collapsed="false">
      <c r="A2" s="30"/>
      <c r="B2" s="30"/>
      <c r="C2" s="30"/>
      <c r="D2" s="30"/>
      <c r="E2" s="30"/>
      <c r="F2" s="30"/>
    </row>
    <row r="3" customFormat="false" ht="30" hidden="false" customHeight="true" outlineLevel="0" collapsed="false">
      <c r="A3" s="18" t="s">
        <v>315</v>
      </c>
      <c r="B3" s="34" t="s">
        <v>316</v>
      </c>
      <c r="C3" s="34" t="s">
        <v>317</v>
      </c>
      <c r="D3" s="34" t="s">
        <v>318</v>
      </c>
      <c r="E3" s="34" t="s">
        <v>319</v>
      </c>
      <c r="F3" s="34" t="s">
        <v>320</v>
      </c>
    </row>
    <row r="4" customFormat="false" ht="15.75" hidden="false" customHeight="true" outlineLevel="0" collapsed="false">
      <c r="A4" s="18" t="s">
        <v>321</v>
      </c>
      <c r="B4" s="65"/>
      <c r="C4" s="65"/>
      <c r="D4" s="65"/>
      <c r="E4" s="65"/>
      <c r="F4" s="65"/>
    </row>
    <row r="5" customFormat="false" ht="15" hidden="false" customHeight="true" outlineLevel="0" collapsed="false">
      <c r="A5" s="47" t="s">
        <v>138</v>
      </c>
      <c r="B5" s="66" t="n">
        <f aca="false">'1. Income_Statement'!E4</f>
        <v>91354</v>
      </c>
      <c r="C5" s="66" t="n">
        <f aca="false">B5*(1+'2. Assumptions_FY2025'!B10)</f>
        <v>89526.92</v>
      </c>
      <c r="D5" s="66" t="n">
        <f aca="false">B5*(1+'2. Assumptions_FY2025'!C10)</f>
        <v>94094.62</v>
      </c>
      <c r="E5" s="66" t="n">
        <f aca="false">B5*(1+'2. Assumptions_FY2025'!D10)</f>
        <v>96835.24</v>
      </c>
      <c r="F5" s="37" t="n">
        <f aca="false">IFERROR(D5/B5-1,"")</f>
        <v>0.03</v>
      </c>
    </row>
    <row r="6" customFormat="false" ht="15" hidden="false" customHeight="true" outlineLevel="0" collapsed="false">
      <c r="A6" s="47" t="s">
        <v>139</v>
      </c>
      <c r="B6" s="66" t="n">
        <f aca="false">'1. Income_Statement'!E5</f>
        <v>366</v>
      </c>
      <c r="C6" s="66" t="n">
        <f aca="false">C5*'2. Assumptions_FY2025'!B11</f>
        <v>358.10768</v>
      </c>
      <c r="D6" s="66" t="n">
        <f aca="false">D5*'2. Assumptions_FY2025'!C11</f>
        <v>376.37848</v>
      </c>
      <c r="E6" s="66" t="n">
        <f aca="false">E5*'2. Assumptions_FY2025'!D11</f>
        <v>387.34096</v>
      </c>
      <c r="F6" s="37" t="n">
        <f aca="false">IFERROR(D6/B6-1,"")</f>
        <v>0.0283565027322403</v>
      </c>
    </row>
    <row r="7" customFormat="false" ht="15" hidden="false" customHeight="true" outlineLevel="0" collapsed="false">
      <c r="A7" s="47" t="s">
        <v>140</v>
      </c>
      <c r="B7" s="66" t="n">
        <f aca="false">'1. Income_Statement'!E6</f>
        <v>-48670</v>
      </c>
      <c r="C7" s="66" t="n">
        <f aca="false">-C5*'2. Assumptions_FY2025'!B12</f>
        <v>-48255.00988</v>
      </c>
      <c r="D7" s="66" t="n">
        <f aca="false">-D5*'2. Assumptions_FY2025'!C12</f>
        <v>-49776.05398</v>
      </c>
      <c r="E7" s="66" t="n">
        <f aca="false">-E5*'2. Assumptions_FY2025'!D12</f>
        <v>-50257.48956</v>
      </c>
      <c r="F7" s="37" t="n">
        <f aca="false">IFERROR(D7/B7-1,"")</f>
        <v>0.0227255800287651</v>
      </c>
    </row>
    <row r="8" customFormat="false" ht="15" hidden="false" customHeight="true" outlineLevel="0" collapsed="false">
      <c r="A8" s="47" t="s">
        <v>141</v>
      </c>
      <c r="B8" s="66" t="n">
        <f aca="false">'1. Income_Statement'!E7</f>
        <v>-7567</v>
      </c>
      <c r="C8" s="66" t="n">
        <f aca="false">-C5*'2. Assumptions_FY2025'!B13</f>
        <v>-7341.20744</v>
      </c>
      <c r="D8" s="66" t="n">
        <f aca="false">-D5*'2. Assumptions_FY2025'!C13</f>
        <v>-7715.75884</v>
      </c>
      <c r="E8" s="66" t="n">
        <f aca="false">-E5*'2. Assumptions_FY2025'!D13</f>
        <v>-7940.48968</v>
      </c>
      <c r="F8" s="37" t="n">
        <f aca="false">IFERROR(D8/B8-1,"")</f>
        <v>0.0196588925597991</v>
      </c>
    </row>
    <row r="9" customFormat="false" ht="15" hidden="false" customHeight="true" outlineLevel="0" collapsed="false">
      <c r="A9" s="47" t="s">
        <v>142</v>
      </c>
      <c r="B9" s="66" t="n">
        <f aca="false">'1. Income_Statement'!E8</f>
        <v>-18112</v>
      </c>
      <c r="C9" s="66" t="n">
        <f aca="false">-C5*'2. Assumptions_FY2025'!B14</f>
        <v>-19158.76088</v>
      </c>
      <c r="D9" s="66" t="n">
        <f aca="false">-D5*'2. Assumptions_FY2025'!C14</f>
        <v>-19665.77558</v>
      </c>
      <c r="E9" s="66" t="n">
        <f aca="false">-E5*'2. Assumptions_FY2025'!D14</f>
        <v>-19754.38896</v>
      </c>
      <c r="F9" s="37" t="n">
        <f aca="false">IFERROR(D9/B9-1,"")</f>
        <v>0.0857870792844522</v>
      </c>
    </row>
    <row r="10" customFormat="false" ht="15" hidden="false" customHeight="true" outlineLevel="0" collapsed="false">
      <c r="A10" s="47" t="s">
        <v>143</v>
      </c>
      <c r="B10" s="66" t="n">
        <f aca="false">'1. Income_Statement'!E9</f>
        <v>-1667</v>
      </c>
      <c r="C10" s="66" t="n">
        <f aca="false">-C5*'2. Assumptions_FY2025'!B15</f>
        <v>-1611.48456</v>
      </c>
      <c r="D10" s="66" t="n">
        <f aca="false">-D5*'2. Assumptions_FY2025'!C15</f>
        <v>-1693.70316</v>
      </c>
      <c r="E10" s="66" t="n">
        <f aca="false">-E5*'2. Assumptions_FY2025'!D15</f>
        <v>-1743.03432</v>
      </c>
      <c r="F10" s="37" t="n">
        <f aca="false">IFERROR(D10/B10-1,"")</f>
        <v>0.0160186922615475</v>
      </c>
    </row>
    <row r="11" customFormat="false" ht="15" hidden="false" customHeight="true" outlineLevel="0" collapsed="false">
      <c r="A11" s="67" t="s">
        <v>322</v>
      </c>
      <c r="B11" s="68" t="n">
        <f aca="false">'1. Income_Statement'!E10</f>
        <v>15704</v>
      </c>
      <c r="C11" s="48" t="n">
        <f aca="false">SUM(C5:C10)</f>
        <v>13518.56492</v>
      </c>
      <c r="D11" s="48" t="n">
        <f aca="false">SUM(D5:D10)</f>
        <v>15619.70692</v>
      </c>
      <c r="E11" s="48" t="n">
        <f aca="false">SUM(E5:E10)</f>
        <v>17527.17844</v>
      </c>
      <c r="F11" s="69" t="n">
        <f aca="false">IFERROR(D11/B11-1,"")</f>
        <v>-0.00536761844116129</v>
      </c>
    </row>
    <row r="12" customFormat="false" ht="15" hidden="false" customHeight="true" outlineLevel="0" collapsed="false">
      <c r="A12" s="47" t="s">
        <v>323</v>
      </c>
      <c r="B12" s="66" t="n">
        <f aca="false">'1. Income_Statement'!E11+'1. Income_Statement'!E12</f>
        <v>-1071</v>
      </c>
      <c r="C12" s="66" t="n">
        <f aca="false">C5*'2. Assumptions_FY2025'!B17</f>
        <v>-1701.01148</v>
      </c>
      <c r="D12" s="66" t="n">
        <f aca="false">D5*'2. Assumptions_FY2025'!C17</f>
        <v>-1317.32468</v>
      </c>
      <c r="E12" s="66" t="n">
        <f aca="false">E5*'2. Assumptions_FY2025'!D17</f>
        <v>-871.51716</v>
      </c>
      <c r="F12" s="37" t="n">
        <f aca="false">IFERROR(D12/B12-1,"")</f>
        <v>0.229995032679738</v>
      </c>
    </row>
    <row r="13" customFormat="false" ht="15" hidden="false" customHeight="true" outlineLevel="0" collapsed="false">
      <c r="A13" s="67" t="s">
        <v>147</v>
      </c>
      <c r="B13" s="68" t="n">
        <f aca="false">'1. Income_Statement'!E13</f>
        <v>14633</v>
      </c>
      <c r="C13" s="48" t="n">
        <f aca="false">C11+C12</f>
        <v>11817.55344</v>
      </c>
      <c r="D13" s="48" t="n">
        <f aca="false">D11+D12</f>
        <v>14302.38224</v>
      </c>
      <c r="E13" s="48" t="n">
        <f aca="false">E11+E12</f>
        <v>16655.66128</v>
      </c>
      <c r="F13" s="69" t="n">
        <f aca="false">IFERROR(D13/B13-1,"")</f>
        <v>-0.0225939834620377</v>
      </c>
    </row>
    <row r="14" customFormat="false" ht="15" hidden="false" customHeight="true" outlineLevel="0" collapsed="false">
      <c r="A14" s="47" t="s">
        <v>324</v>
      </c>
      <c r="B14" s="66" t="n">
        <f aca="false">'1. Income_Statement'!E14+'1. Income_Statement'!E15</f>
        <v>91</v>
      </c>
      <c r="C14" s="66" t="n">
        <f aca="false">C5*'2. Assumptions_FY2025'!B18</f>
        <v>-179.05384</v>
      </c>
      <c r="D14" s="66" t="n">
        <f aca="false">D5*'2. Assumptions_FY2025'!C18</f>
        <v>-188.18924</v>
      </c>
      <c r="E14" s="66" t="n">
        <f aca="false">E5*'2. Assumptions_FY2025'!D18</f>
        <v>-193.67048</v>
      </c>
      <c r="F14" s="37" t="n">
        <f aca="false">IFERROR(D14/B14-1,"")</f>
        <v>-3.06801362637363</v>
      </c>
    </row>
    <row r="15" customFormat="false" ht="15" hidden="false" customHeight="true" outlineLevel="0" collapsed="false">
      <c r="A15" s="67" t="s">
        <v>150</v>
      </c>
      <c r="B15" s="68" t="n">
        <f aca="false">'1. Income_Statement'!E16</f>
        <v>14724</v>
      </c>
      <c r="C15" s="48" t="n">
        <f aca="false">C13+C14</f>
        <v>11638.4996</v>
      </c>
      <c r="D15" s="48" t="n">
        <f aca="false">D13+D14</f>
        <v>14114.193</v>
      </c>
      <c r="E15" s="48" t="n">
        <f aca="false">E13+E14</f>
        <v>16461.9908</v>
      </c>
      <c r="F15" s="69" t="n">
        <f aca="false">IFERROR(D15/B15-1,"")</f>
        <v>-0.0414158516707415</v>
      </c>
    </row>
    <row r="16" customFormat="false" ht="15" hidden="false" customHeight="true" outlineLevel="0" collapsed="false">
      <c r="A16" s="47" t="s">
        <v>151</v>
      </c>
      <c r="B16" s="66" t="n">
        <f aca="false">'1. Income_Statement'!E17</f>
        <v>358</v>
      </c>
      <c r="C16" s="66" t="n">
        <f aca="false">B16*(1+'2. Assumptions_FY2025'!B19)</f>
        <v>358</v>
      </c>
      <c r="D16" s="66" t="n">
        <f aca="false">B16*(1+'2. Assumptions_FY2025'!C19)</f>
        <v>358</v>
      </c>
      <c r="E16" s="66" t="n">
        <f aca="false">B16*(1+'2. Assumptions_FY2025'!D19)</f>
        <v>358</v>
      </c>
      <c r="F16" s="37" t="n">
        <f aca="false">IFERROR(D16/B16-1,"")</f>
        <v>0</v>
      </c>
    </row>
    <row r="17" customFormat="false" ht="15" hidden="false" customHeight="true" outlineLevel="0" collapsed="false">
      <c r="A17" s="47" t="s">
        <v>152</v>
      </c>
      <c r="B17" s="66" t="n">
        <f aca="false">'1. Income_Statement'!E18</f>
        <v>-1843</v>
      </c>
      <c r="C17" s="66" t="n">
        <f aca="false">('1. Income_Statement'!E19*(1+'2. Assumptions_FY2025'!B20))-C16</f>
        <v>-2065.75</v>
      </c>
      <c r="D17" s="66" t="n">
        <f aca="false">('1. Income_Statement'!E19*(1+'2. Assumptions_FY2025'!C20))-D16</f>
        <v>-1917.25</v>
      </c>
      <c r="E17" s="66" t="n">
        <f aca="false">('1. Income_Statement'!E19*(1+'2. Assumptions_FY2025'!D20))-E16</f>
        <v>-1768.75</v>
      </c>
      <c r="F17" s="37" t="n">
        <f aca="false">IFERROR(D17/B17-1,"")</f>
        <v>0.0402875746066196</v>
      </c>
    </row>
    <row r="18" customFormat="false" ht="15" hidden="false" customHeight="true" outlineLevel="0" collapsed="false">
      <c r="A18" s="67" t="s">
        <v>153</v>
      </c>
      <c r="B18" s="68" t="n">
        <f aca="false">'1. Income_Statement'!E19</f>
        <v>-1485</v>
      </c>
      <c r="C18" s="48" t="n">
        <f aca="false">C16+C17</f>
        <v>-1707.75</v>
      </c>
      <c r="D18" s="48" t="n">
        <f aca="false">D16+D17</f>
        <v>-1559.25</v>
      </c>
      <c r="E18" s="48" t="n">
        <f aca="false">E16+E17</f>
        <v>-1410.75</v>
      </c>
      <c r="F18" s="69" t="n">
        <f aca="false">IFERROR(D18/B18-1,"")</f>
        <v>0.05</v>
      </c>
    </row>
    <row r="19" customFormat="false" ht="15" hidden="false" customHeight="true" outlineLevel="0" collapsed="false">
      <c r="A19" s="67" t="s">
        <v>154</v>
      </c>
      <c r="B19" s="68" t="n">
        <f aca="false">'1. Income_Statement'!E20</f>
        <v>13239</v>
      </c>
      <c r="C19" s="48" t="n">
        <f aca="false">C15+C18</f>
        <v>9930.74959999999</v>
      </c>
      <c r="D19" s="48" t="n">
        <f aca="false">D15+D18</f>
        <v>12554.943</v>
      </c>
      <c r="E19" s="48" t="n">
        <f aca="false">E15+E18</f>
        <v>15051.2408</v>
      </c>
      <c r="F19" s="69" t="n">
        <f aca="false">IFERROR(D19/B19-1,"")</f>
        <v>-0.0516698391117152</v>
      </c>
    </row>
    <row r="20" customFormat="false" ht="15" hidden="false" customHeight="true" outlineLevel="0" collapsed="false">
      <c r="A20" s="47" t="s">
        <v>155</v>
      </c>
      <c r="B20" s="66" t="n">
        <f aca="false">'1. Income_Statement'!E21</f>
        <v>1249</v>
      </c>
      <c r="C20" s="66" t="n">
        <f aca="false">B20*(1+'2. Assumptions_FY2025'!B21)</f>
        <v>1224.02</v>
      </c>
      <c r="D20" s="66" t="n">
        <f aca="false">B20*(1+'2. Assumptions_FY2025'!C21)</f>
        <v>1348.92</v>
      </c>
      <c r="E20" s="66" t="n">
        <f aca="false">B20*(1+'2. Assumptions_FY2025'!D21)</f>
        <v>1473.82</v>
      </c>
      <c r="F20" s="37" t="n">
        <f aca="false">IFERROR(D20/B20-1,"")</f>
        <v>0.0800000000000001</v>
      </c>
    </row>
    <row r="21" customFormat="false" ht="15" hidden="false" customHeight="true" outlineLevel="0" collapsed="false">
      <c r="A21" s="47" t="s">
        <v>156</v>
      </c>
      <c r="B21" s="66" t="n">
        <f aca="false">'1. Income_Statement'!E22</f>
        <v>-3314</v>
      </c>
      <c r="C21" s="66" t="n">
        <f aca="false">-C19*'2. Assumptions_FY2025'!B22</f>
        <v>-2581.994896</v>
      </c>
      <c r="D21" s="66" t="n">
        <f aca="false">-D19*'2. Assumptions_FY2025'!C22</f>
        <v>-3013.18632</v>
      </c>
      <c r="E21" s="66" t="n">
        <f aca="false">-E19*'2. Assumptions_FY2025'!D22</f>
        <v>-3311.272976</v>
      </c>
      <c r="F21" s="37" t="n">
        <f aca="false">IFERROR(D21/B21-1,"")</f>
        <v>-0.0907705733252865</v>
      </c>
    </row>
    <row r="22" customFormat="false" ht="15" hidden="false" customHeight="true" outlineLevel="0" collapsed="false">
      <c r="A22" s="67" t="s">
        <v>157</v>
      </c>
      <c r="B22" s="68" t="n">
        <f aca="false">'1. Income_Statement'!E23</f>
        <v>11174</v>
      </c>
      <c r="C22" s="48" t="n">
        <f aca="false">C19+C20+C21</f>
        <v>8572.774704</v>
      </c>
      <c r="D22" s="48" t="n">
        <f aca="false">D19+D20+D21</f>
        <v>10890.67668</v>
      </c>
      <c r="E22" s="48" t="n">
        <f aca="false">E19+E20+E21</f>
        <v>13213.787824</v>
      </c>
      <c r="F22" s="69" t="n">
        <f aca="false">IFERROR(D22/B22-1,"")</f>
        <v>-0.0253555861822085</v>
      </c>
    </row>
    <row r="23" customFormat="false" ht="15" hidden="false" customHeight="true" outlineLevel="0" collapsed="false">
      <c r="A23" s="47" t="s">
        <v>158</v>
      </c>
      <c r="B23" s="66" t="n">
        <f aca="false">'1. Income_Statement'!E24</f>
        <v>290</v>
      </c>
      <c r="C23" s="66" t="n">
        <f aca="false">C22*'2. Assumptions_FY2025'!B23</f>
        <v>222.892142304</v>
      </c>
      <c r="D23" s="66" t="n">
        <f aca="false">D22*'2. Assumptions_FY2025'!C23</f>
        <v>283.15759368</v>
      </c>
      <c r="E23" s="66" t="n">
        <f aca="false">E22*'2. Assumptions_FY2025'!D23</f>
        <v>343.558483424</v>
      </c>
      <c r="F23" s="37" t="n">
        <f aca="false">IFERROR(D23/B23-1,"")</f>
        <v>-0.023594504551724</v>
      </c>
    </row>
    <row r="24" customFormat="false" ht="15" hidden="false" customHeight="true" outlineLevel="0" collapsed="false">
      <c r="A24" s="67" t="s">
        <v>159</v>
      </c>
      <c r="B24" s="68" t="n">
        <f aca="false">'1. Income_Statement'!E25</f>
        <v>10884</v>
      </c>
      <c r="C24" s="48" t="n">
        <f aca="false">C22-C23</f>
        <v>8349.882561696</v>
      </c>
      <c r="D24" s="48" t="n">
        <f aca="false">D22-D23</f>
        <v>10607.51908632</v>
      </c>
      <c r="E24" s="48" t="n">
        <f aca="false">E22-E23</f>
        <v>12870.229340576</v>
      </c>
      <c r="F24" s="69" t="n">
        <f aca="false">IFERROR(D24/B24-1,"")</f>
        <v>-0.0254025095259094</v>
      </c>
    </row>
    <row r="25" customFormat="false" ht="15" hidden="false" customHeight="true" outlineLevel="0" collapsed="false">
      <c r="A25" s="30"/>
      <c r="B25" s="30"/>
      <c r="C25" s="30"/>
      <c r="D25" s="30"/>
      <c r="E25" s="30"/>
      <c r="F25" s="30"/>
    </row>
    <row r="26" customFormat="false" ht="15" hidden="false" customHeight="true" outlineLevel="0" collapsed="false">
      <c r="A26" s="47" t="s">
        <v>160</v>
      </c>
      <c r="B26" s="70" t="n">
        <f aca="false">IFERROR(B11/B5,"")</f>
        <v>0.171902708146332</v>
      </c>
      <c r="C26" s="37" t="n">
        <f aca="false">IFERROR(C11/C5,"")</f>
        <v>0.151</v>
      </c>
      <c r="D26" s="37" t="n">
        <f aca="false">IFERROR(D11/D5,"")</f>
        <v>0.166</v>
      </c>
      <c r="E26" s="37" t="n">
        <f aca="false">IFERROR(E11/E5,"")</f>
        <v>0.181</v>
      </c>
      <c r="F26" s="47"/>
    </row>
    <row r="27" customFormat="false" ht="15" hidden="false" customHeight="true" outlineLevel="0" collapsed="false">
      <c r="A27" s="47" t="s">
        <v>161</v>
      </c>
      <c r="B27" s="70" t="n">
        <f aca="false">IFERROR(B13/B5,"")</f>
        <v>0.160179083565033</v>
      </c>
      <c r="C27" s="37" t="n">
        <f aca="false">IFERROR(C13/C5,"")</f>
        <v>0.132</v>
      </c>
      <c r="D27" s="37" t="n">
        <f aca="false">IFERROR(D13/D5,"")</f>
        <v>0.152</v>
      </c>
      <c r="E27" s="37" t="n">
        <f aca="false">IFERROR(E13/E5,"")</f>
        <v>0.172</v>
      </c>
      <c r="F27" s="47"/>
    </row>
    <row r="28" customFormat="false" ht="15" hidden="false" customHeight="true" outlineLevel="0" collapsed="false">
      <c r="A28" s="47" t="s">
        <v>162</v>
      </c>
      <c r="B28" s="70" t="n">
        <f aca="false">IFERROR(B15/B5,"")</f>
        <v>0.161175208529457</v>
      </c>
      <c r="C28" s="37" t="n">
        <f aca="false">IFERROR(C15/C5,"")</f>
        <v>0.13</v>
      </c>
      <c r="D28" s="37" t="n">
        <f aca="false">IFERROR(D15/D5,"")</f>
        <v>0.15</v>
      </c>
      <c r="E28" s="37" t="n">
        <f aca="false">IFERROR(E15/E5,"")</f>
        <v>0.17</v>
      </c>
      <c r="F28" s="47"/>
    </row>
    <row r="29" customFormat="false" ht="15" hidden="false" customHeight="true" outlineLevel="0" collapsed="false">
      <c r="A29" s="47" t="s">
        <v>163</v>
      </c>
      <c r="B29" s="70" t="n">
        <f aca="false">IFERROR(B24/B5,"")</f>
        <v>0.119140924316396</v>
      </c>
      <c r="C29" s="37" t="n">
        <f aca="false">IFERROR(C24/C5,"")</f>
        <v>0.0932667242623336</v>
      </c>
      <c r="D29" s="37" t="n">
        <f aca="false">IFERROR(D24/D5,"")</f>
        <v>0.112732471700507</v>
      </c>
      <c r="E29" s="37" t="n">
        <f aca="false">IFERROR(E24/E5,"")</f>
        <v>0.132908529380172</v>
      </c>
      <c r="F29" s="47"/>
    </row>
    <row r="30" customFormat="false" ht="15" hidden="false" customHeight="true" outlineLevel="0" collapsed="false">
      <c r="A30" s="47" t="s">
        <v>262</v>
      </c>
      <c r="B30" s="70" t="n">
        <f aca="false">IFERROR(-B21/B19,"")</f>
        <v>0.250321021225168</v>
      </c>
      <c r="C30" s="37" t="n">
        <f aca="false">IFERROR(-C21/C19,"")</f>
        <v>0.26</v>
      </c>
      <c r="D30" s="37" t="n">
        <f aca="false">IFERROR(-D21/D19,"")</f>
        <v>0.24</v>
      </c>
      <c r="E30" s="37" t="n">
        <f aca="false">IFERROR(-E21/E19,"")</f>
        <v>0.22</v>
      </c>
      <c r="F30" s="47"/>
    </row>
    <row r="31" customFormat="false" ht="15" hidden="false" customHeight="true" outlineLevel="0" collapsed="false">
      <c r="A31" s="30"/>
      <c r="B31" s="30"/>
      <c r="C31" s="30"/>
      <c r="D31" s="30"/>
      <c r="E31" s="30"/>
      <c r="F31" s="30"/>
    </row>
    <row r="32" customFormat="false" ht="15" hidden="false" customHeight="true" outlineLevel="0" collapsed="false">
      <c r="A32" s="47" t="s">
        <v>325</v>
      </c>
      <c r="B32" s="71" t="n">
        <f aca="false">'1. Income_Statement'!E33</f>
        <v>4.19</v>
      </c>
      <c r="C32" s="72" t="n">
        <f aca="false">IFERROR(C24/'2. Assumptions_FY2025'!B24,"")</f>
        <v>3.26843956695346</v>
      </c>
      <c r="D32" s="72" t="n">
        <f aca="false">IFERROR(D24/'2. Assumptions_FY2025'!C24,"")</f>
        <v>4.15215840854895</v>
      </c>
      <c r="E32" s="72" t="n">
        <f aca="false">IFERROR(E24/'2. Assumptions_FY2025'!D24,"")</f>
        <v>5.0378632874999</v>
      </c>
      <c r="F32" s="47"/>
    </row>
    <row r="33" customFormat="false" ht="15" hidden="false" customHeight="true" outlineLevel="0" collapsed="false">
      <c r="A33" s="30"/>
      <c r="B33" s="30"/>
      <c r="C33" s="30"/>
      <c r="D33" s="30"/>
      <c r="E33" s="30"/>
      <c r="F33" s="30"/>
    </row>
    <row r="34" customFormat="false" ht="15.75" hidden="false" customHeight="true" outlineLevel="0" collapsed="false">
      <c r="A34" s="18" t="s">
        <v>326</v>
      </c>
      <c r="B34" s="65"/>
      <c r="C34" s="65"/>
      <c r="D34" s="65"/>
      <c r="E34" s="65"/>
      <c r="F34" s="65"/>
    </row>
    <row r="35" customFormat="false" ht="13.5" hidden="false" customHeight="true" outlineLevel="0" collapsed="false">
      <c r="A35" s="51" t="s">
        <v>172</v>
      </c>
      <c r="B35" s="30"/>
      <c r="C35" s="30"/>
      <c r="D35" s="30"/>
      <c r="E35" s="30"/>
      <c r="F35" s="30"/>
    </row>
    <row r="36" customFormat="false" ht="15" hidden="false" customHeight="true" outlineLevel="0" collapsed="false">
      <c r="A36" s="47" t="s">
        <v>327</v>
      </c>
      <c r="B36" s="66" t="n">
        <f aca="false">'1. Cash_Flow_Statement'!E5</f>
        <v>14724</v>
      </c>
      <c r="C36" s="73" t="n">
        <f aca="false">C15</f>
        <v>11638.4996</v>
      </c>
      <c r="D36" s="73" t="n">
        <f aca="false">D15</f>
        <v>14114.193</v>
      </c>
      <c r="E36" s="73" t="n">
        <f aca="false">E15</f>
        <v>16461.9908</v>
      </c>
      <c r="F36" s="37" t="n">
        <f aca="false">IFERROR(D36/B36-1,"")</f>
        <v>-0.0414158516707415</v>
      </c>
    </row>
    <row r="37" customFormat="false" ht="15" hidden="false" customHeight="true" outlineLevel="0" collapsed="false">
      <c r="A37" s="47" t="s">
        <v>174</v>
      </c>
      <c r="B37" s="66" t="n">
        <f aca="false">'1. Cash_Flow_Statement'!E6</f>
        <v>3582</v>
      </c>
      <c r="C37" s="66" t="n">
        <f aca="false">C5*'2. Assumptions_FY2025'!B27</f>
        <v>3491.54988</v>
      </c>
      <c r="D37" s="66" t="n">
        <f aca="false">D5*'2. Assumptions_FY2025'!C27</f>
        <v>3669.69018</v>
      </c>
      <c r="E37" s="66" t="n">
        <f aca="false">E5*'2. Assumptions_FY2025'!D27</f>
        <v>3776.57436</v>
      </c>
      <c r="F37" s="37" t="n">
        <f aca="false">IFERROR(D37/B37-1,"")</f>
        <v>0.0244807872696817</v>
      </c>
    </row>
    <row r="38" customFormat="false" ht="15" hidden="false" customHeight="true" outlineLevel="0" collapsed="false">
      <c r="A38" s="47" t="s">
        <v>175</v>
      </c>
      <c r="B38" s="66" t="n">
        <f aca="false">'1. Cash_Flow_Statement'!E7</f>
        <v>580</v>
      </c>
      <c r="C38" s="66" t="n">
        <f aca="false">'2. Assumptions_FY2025'!B28</f>
        <v>580</v>
      </c>
      <c r="D38" s="66" t="n">
        <f aca="false">'2. Assumptions_FY2025'!C28</f>
        <v>580</v>
      </c>
      <c r="E38" s="66" t="n">
        <f aca="false">'2. Assumptions_FY2025'!D28</f>
        <v>580</v>
      </c>
      <c r="F38" s="37" t="n">
        <f aca="false">IFERROR(D38/B38-1,"")</f>
        <v>0</v>
      </c>
    </row>
    <row r="39" customFormat="false" ht="15" hidden="false" customHeight="true" outlineLevel="0" collapsed="false">
      <c r="A39" s="47" t="s">
        <v>328</v>
      </c>
      <c r="B39" s="66" t="n">
        <f aca="false">'1. Cash_Flow_Statement'!E8+'1. Cash_Flow_Statement'!E9</f>
        <v>-167</v>
      </c>
      <c r="C39" s="66" t="n">
        <f aca="false">'2. Assumptions_FY2025'!B29</f>
        <v>0</v>
      </c>
      <c r="D39" s="66" t="n">
        <f aca="false">'2. Assumptions_FY2025'!C29</f>
        <v>0</v>
      </c>
      <c r="E39" s="66" t="n">
        <f aca="false">'2. Assumptions_FY2025'!D29</f>
        <v>0</v>
      </c>
      <c r="F39" s="37" t="n">
        <f aca="false">IFERROR(D39/B39-1,"")</f>
        <v>-1</v>
      </c>
    </row>
    <row r="40" customFormat="false" ht="15" hidden="false" customHeight="true" outlineLevel="0" collapsed="false">
      <c r="A40" s="67" t="s">
        <v>178</v>
      </c>
      <c r="B40" s="68" t="n">
        <f aca="false">'1. Cash_Flow_Statement'!E10</f>
        <v>18719</v>
      </c>
      <c r="C40" s="48" t="n">
        <f aca="false">SUM(C36:C39)</f>
        <v>15710.04948</v>
      </c>
      <c r="D40" s="48" t="n">
        <f aca="false">SUM(D36:D39)</f>
        <v>18363.88318</v>
      </c>
      <c r="E40" s="48" t="n">
        <f aca="false">SUM(E36:E39)</f>
        <v>20818.56516</v>
      </c>
      <c r="F40" s="69" t="n">
        <f aca="false">IFERROR(D40/B40-1,"")</f>
        <v>-0.0189709290026174</v>
      </c>
    </row>
    <row r="41" customFormat="false" ht="15" hidden="false" customHeight="true" outlineLevel="0" collapsed="false">
      <c r="A41" s="47" t="s">
        <v>329</v>
      </c>
      <c r="B41" s="66" t="n">
        <f aca="false">'1. Cash_Flow_Statement'!E11+'1. Cash_Flow_Statement'!E12</f>
        <v>874</v>
      </c>
      <c r="C41" s="66" t="n">
        <f aca="false">'2. Assumptions_FY2025'!B30</f>
        <v>-1000</v>
      </c>
      <c r="D41" s="66" t="n">
        <f aca="false">'2. Assumptions_FY2025'!C30</f>
        <v>0</v>
      </c>
      <c r="E41" s="66" t="n">
        <f aca="false">'2. Assumptions_FY2025'!D30</f>
        <v>1000</v>
      </c>
      <c r="F41" s="37" t="n">
        <f aca="false">IFERROR(D41/B41-1,"")</f>
        <v>-1</v>
      </c>
    </row>
    <row r="42" customFormat="false" ht="15" hidden="false" customHeight="true" outlineLevel="0" collapsed="false">
      <c r="A42" s="67" t="s">
        <v>181</v>
      </c>
      <c r="B42" s="68" t="n">
        <f aca="false">'1. Cash_Flow_Statement'!E13</f>
        <v>19593</v>
      </c>
      <c r="C42" s="48" t="n">
        <f aca="false">C40+C41</f>
        <v>14710.04948</v>
      </c>
      <c r="D42" s="48" t="n">
        <f aca="false">D40+D41</f>
        <v>18363.88318</v>
      </c>
      <c r="E42" s="48" t="n">
        <f aca="false">E40+E41</f>
        <v>21818.56516</v>
      </c>
      <c r="F42" s="69" t="n">
        <f aca="false">IFERROR(D42/B42-1,"")</f>
        <v>-0.0627324462818352</v>
      </c>
    </row>
    <row r="43" customFormat="false" ht="15" hidden="false" customHeight="true" outlineLevel="0" collapsed="false">
      <c r="A43" s="47" t="s">
        <v>182</v>
      </c>
      <c r="B43" s="66" t="n">
        <f aca="false">'1. Cash_Flow_Statement'!E14</f>
        <v>-1539</v>
      </c>
      <c r="C43" s="66" t="n">
        <f aca="false">C17*'2. Assumptions_FY2025'!B31</f>
        <v>-1724.90125</v>
      </c>
      <c r="D43" s="66" t="n">
        <f aca="false">D17*'2. Assumptions_FY2025'!C31</f>
        <v>-1600.90375</v>
      </c>
      <c r="E43" s="66" t="n">
        <f aca="false">E17*'2. Assumptions_FY2025'!D31</f>
        <v>-1476.90625</v>
      </c>
      <c r="F43" s="37" t="n">
        <f aca="false">IFERROR(D43/B43-1,"")</f>
        <v>0.0402233593242365</v>
      </c>
    </row>
    <row r="44" customFormat="false" ht="15" hidden="false" customHeight="true" outlineLevel="0" collapsed="false">
      <c r="A44" s="47" t="s">
        <v>183</v>
      </c>
      <c r="B44" s="66" t="n">
        <f aca="false">'1. Cash_Flow_Statement'!E15</f>
        <v>273</v>
      </c>
      <c r="C44" s="66" t="n">
        <f aca="false">C16*'2. Assumptions_FY2025'!B32</f>
        <v>273.154</v>
      </c>
      <c r="D44" s="66" t="n">
        <f aca="false">D16*'2. Assumptions_FY2025'!C32</f>
        <v>273.154</v>
      </c>
      <c r="E44" s="66" t="n">
        <f aca="false">E16*'2. Assumptions_FY2025'!D32</f>
        <v>273.154</v>
      </c>
      <c r="F44" s="37" t="n">
        <f aca="false">IFERROR(D44/B44-1,"")</f>
        <v>0.000564102564102553</v>
      </c>
    </row>
    <row r="45" customFormat="false" ht="15" hidden="false" customHeight="true" outlineLevel="0" collapsed="false">
      <c r="A45" s="47" t="s">
        <v>184</v>
      </c>
      <c r="B45" s="66" t="n">
        <f aca="false">'1. Cash_Flow_Statement'!E16</f>
        <v>-2411</v>
      </c>
      <c r="C45" s="66" t="n">
        <f aca="false">C21*'2. Assumptions_FY2025'!B33</f>
        <v>-1877.110289392</v>
      </c>
      <c r="D45" s="66" t="n">
        <f aca="false">D21*'2. Assumptions_FY2025'!C33</f>
        <v>-2190.58645464</v>
      </c>
      <c r="E45" s="66" t="n">
        <f aca="false">E21*'2. Assumptions_FY2025'!D33</f>
        <v>-2407.295453552</v>
      </c>
      <c r="F45" s="37" t="n">
        <f aca="false">IFERROR(D45/B45-1,"")</f>
        <v>-0.0914199690418912</v>
      </c>
    </row>
    <row r="46" customFormat="false" ht="15" hidden="false" customHeight="true" outlineLevel="0" collapsed="false">
      <c r="A46" s="47" t="s">
        <v>185</v>
      </c>
      <c r="B46" s="66" t="n">
        <f aca="false">'1. Cash_Flow_Statement'!E17</f>
        <v>759</v>
      </c>
      <c r="C46" s="66" t="n">
        <f aca="false">C20*'2. Assumptions_FY2025'!B34</f>
        <v>744.20416</v>
      </c>
      <c r="D46" s="66" t="n">
        <f aca="false">D20*'2. Assumptions_FY2025'!C34</f>
        <v>820.14336</v>
      </c>
      <c r="E46" s="66" t="n">
        <f aca="false">E20*'2. Assumptions_FY2025'!D34</f>
        <v>896.08256</v>
      </c>
      <c r="F46" s="37" t="n">
        <f aca="false">IFERROR(D46/B46-1,"")</f>
        <v>0.0805577865612648</v>
      </c>
    </row>
    <row r="47" customFormat="false" ht="15" hidden="false" customHeight="true" outlineLevel="0" collapsed="false">
      <c r="A47" s="67" t="s">
        <v>186</v>
      </c>
      <c r="B47" s="68" t="n">
        <f aca="false">'1. Cash_Flow_Statement'!E18</f>
        <v>16675</v>
      </c>
      <c r="C47" s="48" t="n">
        <f aca="false">C42+C43+C44+C45+C46</f>
        <v>12125.396100608</v>
      </c>
      <c r="D47" s="48" t="n">
        <f aca="false">D42+D43+D44+D45+D46</f>
        <v>15665.69033536</v>
      </c>
      <c r="E47" s="48" t="n">
        <f aca="false">E42+E43+E44+E45+E46</f>
        <v>19103.600016448</v>
      </c>
      <c r="F47" s="69" t="n">
        <f aca="false">IFERROR(D47/B47-1,"")</f>
        <v>-0.0605283157205396</v>
      </c>
    </row>
    <row r="48" customFormat="false" ht="15" hidden="false" customHeight="true" outlineLevel="0" collapsed="false">
      <c r="A48" s="30"/>
      <c r="B48" s="30"/>
      <c r="C48" s="30"/>
      <c r="D48" s="30"/>
      <c r="E48" s="30"/>
      <c r="F48" s="30"/>
    </row>
    <row r="49" customFormat="false" ht="13.5" hidden="false" customHeight="true" outlineLevel="0" collapsed="false">
      <c r="A49" s="51" t="s">
        <v>187</v>
      </c>
      <c r="B49" s="30"/>
      <c r="C49" s="30"/>
      <c r="D49" s="30"/>
      <c r="E49" s="30"/>
      <c r="F49" s="30"/>
    </row>
    <row r="50" customFormat="false" ht="15" hidden="false" customHeight="true" outlineLevel="0" collapsed="false">
      <c r="A50" s="47" t="s">
        <v>188</v>
      </c>
      <c r="B50" s="66" t="n">
        <f aca="false">'1. Cash_Flow_Statement'!E21</f>
        <v>-5638</v>
      </c>
      <c r="C50" s="66" t="n">
        <f aca="false">-C5*'2. Assumptions_FY2025'!B35</f>
        <v>-5998.30364</v>
      </c>
      <c r="D50" s="66" t="n">
        <f aca="false">-D5*'2. Assumptions_FY2025'!C35</f>
        <v>-5833.86644</v>
      </c>
      <c r="E50" s="66" t="n">
        <f aca="false">-E5*'2. Assumptions_FY2025'!D35</f>
        <v>-5519.60868</v>
      </c>
      <c r="F50" s="37" t="n">
        <f aca="false">IFERROR(D50/B50-1,"")</f>
        <v>0.0347404114934373</v>
      </c>
    </row>
    <row r="51" customFormat="false" ht="15" hidden="false" customHeight="true" outlineLevel="0" collapsed="false">
      <c r="A51" s="47" t="s">
        <v>189</v>
      </c>
      <c r="B51" s="66" t="n">
        <f aca="false">'1. Cash_Flow_Statement'!E22</f>
        <v>-325</v>
      </c>
      <c r="C51" s="66" t="n">
        <f aca="false">-C5*'2. Assumptions_FY2025'!B36</f>
        <v>-358.10768</v>
      </c>
      <c r="D51" s="66" t="n">
        <f aca="false">-D5*'2. Assumptions_FY2025'!C36</f>
        <v>-376.37848</v>
      </c>
      <c r="E51" s="66" t="n">
        <f aca="false">-E5*'2. Assumptions_FY2025'!D36</f>
        <v>-387.34096</v>
      </c>
      <c r="F51" s="37" t="n">
        <f aca="false">IFERROR(D51/B51-1,"")</f>
        <v>0.158087630769231</v>
      </c>
    </row>
    <row r="52" customFormat="false" ht="15" hidden="false" customHeight="true" outlineLevel="0" collapsed="false">
      <c r="A52" s="47" t="s">
        <v>330</v>
      </c>
      <c r="B52" s="66" t="n">
        <f aca="false">'1. Cash_Flow_Statement'!E23+'1. Cash_Flow_Statement'!E24</f>
        <v>-832</v>
      </c>
      <c r="C52" s="66" t="n">
        <f aca="false">'2. Assumptions_FY2025'!B37</f>
        <v>0</v>
      </c>
      <c r="D52" s="66" t="n">
        <f aca="false">'2. Assumptions_FY2025'!C37</f>
        <v>0</v>
      </c>
      <c r="E52" s="66" t="n">
        <f aca="false">'2. Assumptions_FY2025'!D37</f>
        <v>0</v>
      </c>
      <c r="F52" s="37" t="n">
        <f aca="false">IFERROR(D52/B52-1,"")</f>
        <v>-1</v>
      </c>
    </row>
    <row r="53" customFormat="false" ht="15" hidden="false" customHeight="true" outlineLevel="0" collapsed="false">
      <c r="A53" s="47" t="s">
        <v>192</v>
      </c>
      <c r="B53" s="66" t="n">
        <f aca="false">'1. Cash_Flow_Statement'!E25</f>
        <v>-532</v>
      </c>
      <c r="C53" s="66" t="n">
        <f aca="false">C5*'2. Assumptions_FY2025'!B38</f>
        <v>-537.16152</v>
      </c>
      <c r="D53" s="66" t="n">
        <f aca="false">D5*'2. Assumptions_FY2025'!C38</f>
        <v>-564.56772</v>
      </c>
      <c r="E53" s="66" t="n">
        <f aca="false">E5*'2. Assumptions_FY2025'!D38</f>
        <v>-581.01144</v>
      </c>
      <c r="F53" s="37" t="n">
        <f aca="false">IFERROR(D53/B53-1,"")</f>
        <v>0.0612175187969926</v>
      </c>
    </row>
    <row r="54" customFormat="false" ht="15" hidden="false" customHeight="true" outlineLevel="0" collapsed="false">
      <c r="A54" s="47" t="s">
        <v>193</v>
      </c>
      <c r="B54" s="66" t="n">
        <f aca="false">'1. Cash_Flow_Statement'!E26</f>
        <v>0</v>
      </c>
      <c r="C54" s="66" t="n">
        <f aca="false">'2. Assumptions_FY2025'!B39</f>
        <v>0</v>
      </c>
      <c r="D54" s="66" t="n">
        <f aca="false">'2. Assumptions_FY2025'!C39</f>
        <v>0</v>
      </c>
      <c r="E54" s="66" t="n">
        <f aca="false">'2. Assumptions_FY2025'!D39</f>
        <v>0</v>
      </c>
      <c r="F54" s="37" t="str">
        <f aca="false">IFERROR(D54/B54-1,"")</f>
        <v/>
      </c>
    </row>
    <row r="55" customFormat="false" ht="15" hidden="false" customHeight="true" outlineLevel="0" collapsed="false">
      <c r="A55" s="47" t="s">
        <v>331</v>
      </c>
      <c r="B55" s="66" t="n">
        <f aca="false">'1. Cash_Flow_Statement'!E27+'1. Cash_Flow_Statement'!E28</f>
        <v>-1297</v>
      </c>
      <c r="C55" s="66" t="n">
        <f aca="false">'2. Assumptions_FY2025'!B40</f>
        <v>0</v>
      </c>
      <c r="D55" s="66" t="n">
        <f aca="false">'2. Assumptions_FY2025'!C40</f>
        <v>0</v>
      </c>
      <c r="E55" s="66" t="n">
        <f aca="false">'2. Assumptions_FY2025'!D40</f>
        <v>0</v>
      </c>
      <c r="F55" s="37" t="n">
        <f aca="false">IFERROR(D55/B55-1,"")</f>
        <v>-1</v>
      </c>
    </row>
    <row r="56" customFormat="false" ht="15" hidden="false" customHeight="true" outlineLevel="0" collapsed="false">
      <c r="A56" s="67" t="s">
        <v>196</v>
      </c>
      <c r="B56" s="68" t="n">
        <f aca="false">'1. Cash_Flow_Statement'!E29</f>
        <v>-8624</v>
      </c>
      <c r="C56" s="48" t="n">
        <f aca="false">SUM(C50:C55)</f>
        <v>-6893.57284</v>
      </c>
      <c r="D56" s="48" t="n">
        <f aca="false">SUM(D50:D55)</f>
        <v>-6774.81264</v>
      </c>
      <c r="E56" s="48" t="n">
        <f aca="false">SUM(E50:E55)</f>
        <v>-6487.96108</v>
      </c>
      <c r="F56" s="69" t="n">
        <f aca="false">IFERROR(D56/B56-1,"")</f>
        <v>-0.214423395176252</v>
      </c>
    </row>
    <row r="57" customFormat="false" ht="15" hidden="false" customHeight="true" outlineLevel="0" collapsed="false">
      <c r="A57" s="30"/>
      <c r="B57" s="30"/>
      <c r="C57" s="30"/>
      <c r="D57" s="30"/>
      <c r="E57" s="30"/>
      <c r="F57" s="30"/>
    </row>
    <row r="58" customFormat="false" ht="13.5" hidden="false" customHeight="true" outlineLevel="0" collapsed="false">
      <c r="A58" s="51" t="s">
        <v>197</v>
      </c>
      <c r="B58" s="30"/>
      <c r="C58" s="30"/>
      <c r="D58" s="30"/>
      <c r="E58" s="30"/>
      <c r="F58" s="30"/>
    </row>
    <row r="59" customFormat="false" ht="15" hidden="false" customHeight="true" outlineLevel="0" collapsed="false">
      <c r="A59" s="47" t="s">
        <v>198</v>
      </c>
      <c r="B59" s="66" t="n">
        <f aca="false">'1. Cash_Flow_Statement'!E32</f>
        <v>-7816</v>
      </c>
      <c r="C59" s="66" t="n">
        <f aca="false">B59*(1+'2. Assumptions_FY2025'!B41)</f>
        <v>-7972.32</v>
      </c>
      <c r="D59" s="66" t="n">
        <f aca="false">B59*(1+'2. Assumptions_FY2025'!C41)</f>
        <v>-7972.32</v>
      </c>
      <c r="E59" s="66" t="n">
        <f aca="false">B59*(1+'2. Assumptions_FY2025'!D41)</f>
        <v>-7972.32</v>
      </c>
      <c r="F59" s="37" t="n">
        <f aca="false">IFERROR(D59/B59-1,"")</f>
        <v>0.02</v>
      </c>
    </row>
    <row r="60" customFormat="false" ht="15" hidden="false" customHeight="true" outlineLevel="0" collapsed="false">
      <c r="A60" s="47" t="s">
        <v>199</v>
      </c>
      <c r="B60" s="66" t="n">
        <f aca="false">'1. Cash_Flow_Statement'!E33</f>
        <v>-174</v>
      </c>
      <c r="C60" s="66" t="n">
        <f aca="false">'2. Assumptions_FY2025'!B42</f>
        <v>-174</v>
      </c>
      <c r="D60" s="66" t="n">
        <f aca="false">'2. Assumptions_FY2025'!C42</f>
        <v>-174</v>
      </c>
      <c r="E60" s="66" t="n">
        <f aca="false">'2. Assumptions_FY2025'!D42</f>
        <v>-174</v>
      </c>
      <c r="F60" s="37" t="n">
        <f aca="false">IFERROR(D60/B60-1,"")</f>
        <v>0</v>
      </c>
    </row>
    <row r="61" customFormat="false" ht="15" hidden="false" customHeight="true" outlineLevel="0" collapsed="false">
      <c r="A61" s="47" t="s">
        <v>200</v>
      </c>
      <c r="B61" s="66" t="n">
        <f aca="false">'1. Cash_Flow_Statement'!E34</f>
        <v>-27</v>
      </c>
      <c r="C61" s="66" t="n">
        <f aca="false">'2. Assumptions_FY2025'!B43</f>
        <v>0</v>
      </c>
      <c r="D61" s="66" t="n">
        <f aca="false">'2. Assumptions_FY2025'!C43</f>
        <v>0</v>
      </c>
      <c r="E61" s="66" t="n">
        <f aca="false">'2. Assumptions_FY2025'!D43</f>
        <v>0</v>
      </c>
      <c r="F61" s="37" t="n">
        <f aca="false">IFERROR(D61/B61-1,"")</f>
        <v>-1</v>
      </c>
    </row>
    <row r="62" customFormat="false" ht="15" hidden="false" customHeight="true" outlineLevel="0" collapsed="false">
      <c r="A62" s="47" t="s">
        <v>201</v>
      </c>
      <c r="B62" s="66" t="n">
        <f aca="false">'1. Cash_Flow_Statement'!E35</f>
        <v>-4678</v>
      </c>
      <c r="C62" s="66" t="n">
        <f aca="false">'2. Assumptions_FY2025'!B44</f>
        <v>0</v>
      </c>
      <c r="D62" s="66" t="n">
        <f aca="false">'2. Assumptions_FY2025'!C44</f>
        <v>0</v>
      </c>
      <c r="E62" s="66" t="n">
        <f aca="false">'2. Assumptions_FY2025'!D44</f>
        <v>0</v>
      </c>
      <c r="F62" s="37" t="n">
        <f aca="false">IFERROR(D62/B62-1,"")</f>
        <v>-1</v>
      </c>
    </row>
    <row r="63" customFormat="false" ht="15" hidden="false" customHeight="true" outlineLevel="0" collapsed="false">
      <c r="A63" s="47" t="s">
        <v>202</v>
      </c>
      <c r="B63" s="66" t="n">
        <f aca="false">'1. Cash_Flow_Statement'!E36</f>
        <v>7992</v>
      </c>
      <c r="C63" s="66" t="n">
        <f aca="false">'2. Assumptions_FY2025'!B45</f>
        <v>7992</v>
      </c>
      <c r="D63" s="66" t="n">
        <f aca="false">'2. Assumptions_FY2025'!C45</f>
        <v>7992</v>
      </c>
      <c r="E63" s="66" t="n">
        <f aca="false">'2. Assumptions_FY2025'!D45</f>
        <v>7992</v>
      </c>
      <c r="F63" s="37" t="n">
        <f aca="false">IFERROR(D63/B63-1,"")</f>
        <v>0</v>
      </c>
    </row>
    <row r="64" customFormat="false" ht="15" hidden="false" customHeight="true" outlineLevel="0" collapsed="false">
      <c r="A64" s="47" t="s">
        <v>203</v>
      </c>
      <c r="B64" s="66" t="n">
        <f aca="false">'1. Cash_Flow_Statement'!E37</f>
        <v>-5055</v>
      </c>
      <c r="C64" s="66" t="n">
        <f aca="false">'2. Assumptions_FY2025'!B46</f>
        <v>-5055</v>
      </c>
      <c r="D64" s="66" t="n">
        <f aca="false">'2. Assumptions_FY2025'!C46</f>
        <v>-5055</v>
      </c>
      <c r="E64" s="66" t="n">
        <f aca="false">'2. Assumptions_FY2025'!D46</f>
        <v>-5055</v>
      </c>
      <c r="F64" s="37" t="n">
        <f aca="false">IFERROR(D64/B64-1,"")</f>
        <v>0</v>
      </c>
    </row>
    <row r="65" customFormat="false" ht="15" hidden="false" customHeight="true" outlineLevel="0" collapsed="false">
      <c r="A65" s="47" t="s">
        <v>204</v>
      </c>
      <c r="B65" s="66" t="n">
        <f aca="false">'1. Cash_Flow_Statement'!E38</f>
        <v>2396</v>
      </c>
      <c r="C65" s="66" t="n">
        <f aca="false">'2. Assumptions_FY2025'!B47</f>
        <v>0</v>
      </c>
      <c r="D65" s="66" t="n">
        <f aca="false">'2. Assumptions_FY2025'!C47</f>
        <v>0</v>
      </c>
      <c r="E65" s="66" t="n">
        <f aca="false">'2. Assumptions_FY2025'!D47</f>
        <v>0</v>
      </c>
      <c r="F65" s="37" t="n">
        <f aca="false">IFERROR(D65/B65-1,"")</f>
        <v>-1</v>
      </c>
    </row>
    <row r="66" customFormat="false" ht="15" hidden="false" customHeight="true" outlineLevel="0" collapsed="false">
      <c r="A66" s="67" t="s">
        <v>205</v>
      </c>
      <c r="B66" s="68" t="n">
        <f aca="false">'1. Cash_Flow_Statement'!E39</f>
        <v>-7362</v>
      </c>
      <c r="C66" s="48" t="n">
        <f aca="false">SUM(C59:C65)</f>
        <v>-5209.32</v>
      </c>
      <c r="D66" s="48" t="n">
        <f aca="false">SUM(D59:D65)</f>
        <v>-5209.32</v>
      </c>
      <c r="E66" s="48" t="n">
        <f aca="false">SUM(E59:E65)</f>
        <v>-5209.32</v>
      </c>
      <c r="F66" s="69" t="n">
        <f aca="false">IFERROR(D66/B66-1,"")</f>
        <v>-0.29240423797881</v>
      </c>
    </row>
    <row r="67" customFormat="false" ht="15" hidden="false" customHeight="true" outlineLevel="0" collapsed="false">
      <c r="A67" s="30"/>
      <c r="B67" s="30"/>
      <c r="C67" s="30"/>
      <c r="D67" s="30"/>
      <c r="E67" s="30"/>
      <c r="F67" s="30"/>
    </row>
    <row r="68" customFormat="false" ht="13.5" hidden="false" customHeight="true" outlineLevel="0" collapsed="false">
      <c r="A68" s="51" t="s">
        <v>206</v>
      </c>
      <c r="B68" s="30"/>
      <c r="C68" s="30"/>
      <c r="D68" s="30"/>
      <c r="E68" s="30"/>
      <c r="F68" s="30"/>
    </row>
    <row r="69" customFormat="false" ht="15" hidden="false" customHeight="true" outlineLevel="0" collapsed="false">
      <c r="A69" s="47" t="s">
        <v>207</v>
      </c>
      <c r="B69" s="66" t="n">
        <f aca="false">'1. Cash_Flow_Statement'!E42</f>
        <v>53</v>
      </c>
      <c r="C69" s="66" t="n">
        <f aca="false">'2. Assumptions_FY2025'!B48</f>
        <v>0</v>
      </c>
      <c r="D69" s="66" t="n">
        <f aca="false">'2. Assumptions_FY2025'!C48</f>
        <v>0</v>
      </c>
      <c r="E69" s="66" t="n">
        <f aca="false">'2. Assumptions_FY2025'!D48</f>
        <v>0</v>
      </c>
      <c r="F69" s="37" t="n">
        <f aca="false">IFERROR(D69/B69-1,"")</f>
        <v>-1</v>
      </c>
    </row>
    <row r="70" customFormat="false" ht="15" hidden="false" customHeight="true" outlineLevel="0" collapsed="false">
      <c r="A70" s="67" t="s">
        <v>208</v>
      </c>
      <c r="B70" s="68" t="n">
        <f aca="false">'1. Cash_Flow_Statement'!E43</f>
        <v>742</v>
      </c>
      <c r="C70" s="48" t="n">
        <f aca="false">C47+C56+C66+C69</f>
        <v>22.5032606079976</v>
      </c>
      <c r="D70" s="48" t="n">
        <f aca="false">D47+D56+D66+D69</f>
        <v>3681.55769536</v>
      </c>
      <c r="E70" s="48" t="n">
        <f aca="false">E47+E56+E66+E69</f>
        <v>7406.318936448</v>
      </c>
      <c r="F70" s="69" t="n">
        <f aca="false">IFERROR(D70/B70-1,"")</f>
        <v>3.96166805304582</v>
      </c>
    </row>
    <row r="71" customFormat="false" ht="15" hidden="false" customHeight="true" outlineLevel="0" collapsed="false">
      <c r="A71" s="47" t="s">
        <v>209</v>
      </c>
      <c r="B71" s="66" t="n">
        <f aca="false">'1. Cash_Flow_Statement'!E44</f>
        <v>4816</v>
      </c>
      <c r="C71" s="66" t="n">
        <f aca="false">'1. Cash_Flow_Statement'!E45</f>
        <v>5558</v>
      </c>
      <c r="D71" s="66" t="n">
        <f aca="false">'1. Cash_Flow_Statement'!E45</f>
        <v>5558</v>
      </c>
      <c r="E71" s="66" t="n">
        <f aca="false">'1. Cash_Flow_Statement'!E45</f>
        <v>5558</v>
      </c>
      <c r="F71" s="37" t="n">
        <f aca="false">IFERROR(D71/B71-1,"")</f>
        <v>0.154069767441861</v>
      </c>
    </row>
    <row r="72" customFormat="false" ht="15" hidden="false" customHeight="true" outlineLevel="0" collapsed="false">
      <c r="A72" s="67" t="s">
        <v>210</v>
      </c>
      <c r="B72" s="68" t="n">
        <f aca="false">'1. Cash_Flow_Statement'!E45</f>
        <v>5558</v>
      </c>
      <c r="C72" s="48" t="n">
        <f aca="false">C70+C71</f>
        <v>5580.503260608</v>
      </c>
      <c r="D72" s="48" t="n">
        <f aca="false">D70+D71</f>
        <v>9239.55769536</v>
      </c>
      <c r="E72" s="48" t="n">
        <f aca="false">E70+E71</f>
        <v>12964.318936448</v>
      </c>
      <c r="F72" s="69" t="n">
        <f aca="false">IFERROR(D72/B72-1,"")</f>
        <v>0.662388934033825</v>
      </c>
    </row>
    <row r="73" customFormat="false" ht="15" hidden="false" customHeight="true" outlineLevel="0" collapsed="false">
      <c r="A73" s="30"/>
      <c r="B73" s="30"/>
      <c r="C73" s="30"/>
      <c r="D73" s="30"/>
      <c r="E73" s="30"/>
      <c r="F73" s="30"/>
    </row>
    <row r="74" customFormat="false" ht="13.5" hidden="false" customHeight="true" outlineLevel="0" collapsed="false">
      <c r="A74" s="51" t="s">
        <v>213</v>
      </c>
      <c r="B74" s="30"/>
      <c r="C74" s="30"/>
      <c r="D74" s="30"/>
      <c r="E74" s="30"/>
      <c r="F74" s="30"/>
    </row>
    <row r="75" customFormat="false" ht="15" hidden="false" customHeight="true" outlineLevel="0" collapsed="false">
      <c r="A75" s="67" t="s">
        <v>215</v>
      </c>
      <c r="B75" s="68" t="n">
        <f aca="false">'1. Cash_Flow_Statement'!E51</f>
        <v>10712</v>
      </c>
      <c r="C75" s="48" t="n">
        <f aca="false">C47+C50+C51</f>
        <v>5768.984780608</v>
      </c>
      <c r="D75" s="48" t="n">
        <f aca="false">D47+D50+D51</f>
        <v>9455.44541536</v>
      </c>
      <c r="E75" s="48" t="n">
        <f aca="false">E47+E50+E51</f>
        <v>13196.650376448</v>
      </c>
      <c r="F75" s="69" t="n">
        <f aca="false">IFERROR(D75/B75-1,"")</f>
        <v>-0.117303452636296</v>
      </c>
    </row>
    <row r="76" customFormat="false" ht="15" hidden="false" customHeight="true" outlineLevel="0" collapsed="false">
      <c r="A76" s="47" t="s">
        <v>332</v>
      </c>
      <c r="B76" s="70" t="n">
        <f aca="false">IFERROR(B75/B5,"")</f>
        <v>0.117258138669352</v>
      </c>
      <c r="C76" s="37" t="n">
        <f aca="false">IFERROR(C75/C5,"")</f>
        <v>0.0644385485461579</v>
      </c>
      <c r="D76" s="37" t="n">
        <f aca="false">IFERROR(D75/D5,"")</f>
        <v>0.100488693353138</v>
      </c>
      <c r="E76" s="37" t="n">
        <f aca="false">IFERROR(E75/E5,"")</f>
        <v>0.136279420347882</v>
      </c>
      <c r="F76" s="47"/>
    </row>
    <row r="77" customFormat="false" ht="15" hidden="false" customHeight="true" outlineLevel="0" collapsed="false">
      <c r="A77" s="30"/>
      <c r="B77" s="30"/>
      <c r="C77" s="30"/>
      <c r="D77" s="30"/>
      <c r="E77" s="30"/>
      <c r="F77" s="30"/>
    </row>
    <row r="78" customFormat="false" ht="40.5" hidden="false" customHeight="true" outlineLevel="0" collapsed="false">
      <c r="A78" s="44" t="s">
        <v>333</v>
      </c>
      <c r="B78" s="44"/>
      <c r="C78" s="44"/>
      <c r="D78" s="44"/>
      <c r="E78" s="44"/>
      <c r="F78" s="44"/>
    </row>
    <row r="79" customFormat="false" ht="40.5" hidden="false" customHeight="true" outlineLevel="0" collapsed="false">
      <c r="A79" s="44" t="s">
        <v>334</v>
      </c>
      <c r="B79" s="44"/>
      <c r="C79" s="44"/>
      <c r="D79" s="44"/>
      <c r="E79" s="44"/>
      <c r="F79" s="44"/>
    </row>
    <row r="80" customFormat="false" ht="27.75" hidden="false" customHeight="true" outlineLevel="0" collapsed="false">
      <c r="A80" s="44" t="s">
        <v>335</v>
      </c>
      <c r="B80" s="44"/>
      <c r="C80" s="44"/>
      <c r="D80" s="44"/>
      <c r="E80" s="44"/>
      <c r="F80" s="44"/>
    </row>
    <row r="81" customFormat="false" ht="52.5" hidden="false" customHeight="true" outlineLevel="0" collapsed="false">
      <c r="A81" s="44" t="s">
        <v>336</v>
      </c>
      <c r="B81" s="44"/>
      <c r="C81" s="44"/>
      <c r="D81" s="44"/>
      <c r="E81" s="44"/>
      <c r="F81" s="44"/>
    </row>
    <row r="82" customFormat="false" ht="27.75" hidden="false" customHeight="true" outlineLevel="0" collapsed="false">
      <c r="A82" s="44" t="s">
        <v>337</v>
      </c>
      <c r="B82" s="44"/>
      <c r="C82" s="44"/>
      <c r="D82" s="44"/>
      <c r="E82" s="44"/>
      <c r="F82" s="44"/>
    </row>
  </sheetData>
  <mergeCells count="5">
    <mergeCell ref="A78:F78"/>
    <mergeCell ref="A79:F79"/>
    <mergeCell ref="A80:F80"/>
    <mergeCell ref="A81:F81"/>
    <mergeCell ref="A82:F82"/>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878E"/>
    <pageSetUpPr fitToPage="true"/>
  </sheetPr>
  <dimension ref="A1:F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33" width="68"/>
    <col collapsed="false" customWidth="true" hidden="false" outlineLevel="0" max="3" min="2" style="33" width="15"/>
    <col collapsed="false" customWidth="true" hidden="false" outlineLevel="0" max="4" min="4" style="33" width="16"/>
    <col collapsed="false" customWidth="true" hidden="false" outlineLevel="0" max="5" min="5" style="33" width="14"/>
    <col collapsed="false" customWidth="true" hidden="false" outlineLevel="0" max="6" min="6" style="33" width="30"/>
  </cols>
  <sheetData>
    <row r="1" customFormat="false" ht="17.25" hidden="false" customHeight="true" outlineLevel="0" collapsed="false">
      <c r="A1" s="29" t="s">
        <v>338</v>
      </c>
      <c r="B1" s="30"/>
      <c r="C1" s="30"/>
      <c r="D1" s="30"/>
      <c r="E1" s="30"/>
      <c r="F1" s="30"/>
    </row>
    <row r="2" customFormat="false" ht="15" hidden="false" customHeight="true" outlineLevel="0" collapsed="false">
      <c r="A2" s="30"/>
      <c r="B2" s="30"/>
      <c r="C2" s="30"/>
      <c r="D2" s="30"/>
      <c r="E2" s="30"/>
      <c r="F2" s="30"/>
    </row>
    <row r="3" customFormat="false" ht="15" hidden="false" customHeight="true" outlineLevel="0" collapsed="false">
      <c r="A3" s="18" t="s">
        <v>339</v>
      </c>
      <c r="B3" s="18"/>
      <c r="C3" s="18"/>
      <c r="D3" s="18"/>
      <c r="E3" s="18"/>
      <c r="F3" s="18"/>
    </row>
    <row r="4" customFormat="false" ht="15" hidden="false" customHeight="true" outlineLevel="0" collapsed="false">
      <c r="A4" s="30"/>
      <c r="B4" s="30"/>
      <c r="C4" s="30"/>
      <c r="D4" s="30"/>
      <c r="E4" s="30"/>
      <c r="F4" s="30"/>
    </row>
    <row r="5" customFormat="false" ht="30" hidden="false" customHeight="true" outlineLevel="0" collapsed="false">
      <c r="A5" s="18" t="s">
        <v>340</v>
      </c>
      <c r="B5" s="34" t="s">
        <v>341</v>
      </c>
      <c r="C5" s="34" t="s">
        <v>342</v>
      </c>
      <c r="D5" s="34" t="s">
        <v>343</v>
      </c>
      <c r="E5" s="74"/>
      <c r="F5" s="74"/>
    </row>
    <row r="6" customFormat="false" ht="15" hidden="false" customHeight="true" outlineLevel="0" collapsed="false">
      <c r="A6" s="75" t="s">
        <v>344</v>
      </c>
      <c r="B6" s="70" t="n">
        <f aca="false">'2. Assumptions_FY2025'!C5</f>
        <v>0.015</v>
      </c>
      <c r="C6" s="38" t="n">
        <v>0.008</v>
      </c>
      <c r="D6" s="76" t="n">
        <f aca="false">(C6-B6)*10000</f>
        <v>-70</v>
      </c>
      <c r="E6" s="47"/>
      <c r="F6" s="47"/>
    </row>
    <row r="7" customFormat="false" ht="15" hidden="false" customHeight="true" outlineLevel="0" collapsed="false">
      <c r="A7" s="75" t="s">
        <v>230</v>
      </c>
      <c r="B7" s="70" t="n">
        <f aca="false">'2. Assumptions_FY2025'!C6</f>
        <v>0.015</v>
      </c>
      <c r="C7" s="38" t="n">
        <v>0.028</v>
      </c>
      <c r="D7" s="76" t="n">
        <f aca="false">(C7-B7)*10000</f>
        <v>130</v>
      </c>
      <c r="E7" s="47"/>
      <c r="F7" s="47"/>
    </row>
    <row r="8" customFormat="false" ht="15" hidden="false" customHeight="true" outlineLevel="0" collapsed="false">
      <c r="A8" s="77" t="s">
        <v>345</v>
      </c>
      <c r="B8" s="78" t="n">
        <f aca="false">'2. Assumptions_FY2025'!C7</f>
        <v>0.03</v>
      </c>
      <c r="C8" s="79" t="n">
        <v>0.035</v>
      </c>
      <c r="D8" s="80" t="n">
        <f aca="false">(C8-B8)*10000</f>
        <v>50</v>
      </c>
      <c r="E8" s="47"/>
      <c r="F8" s="47"/>
    </row>
    <row r="9" customFormat="false" ht="15" hidden="false" customHeight="true" outlineLevel="0" collapsed="false">
      <c r="A9" s="75" t="s">
        <v>234</v>
      </c>
      <c r="B9" s="70" t="n">
        <f aca="false">'2. Assumptions_FY2025'!C8</f>
        <v>0</v>
      </c>
      <c r="C9" s="38" t="n">
        <v>0.001</v>
      </c>
      <c r="D9" s="76" t="n">
        <f aca="false">(C9-B9)*10000</f>
        <v>10</v>
      </c>
      <c r="E9" s="47"/>
      <c r="F9" s="47"/>
    </row>
    <row r="10" customFormat="false" ht="15" hidden="false" customHeight="true" outlineLevel="0" collapsed="false">
      <c r="A10" s="75" t="s">
        <v>236</v>
      </c>
      <c r="B10" s="70" t="n">
        <f aca="false">'2. Assumptions_FY2025'!C9</f>
        <v>0</v>
      </c>
      <c r="C10" s="38" t="n">
        <v>-0.057</v>
      </c>
      <c r="D10" s="76" t="n">
        <f aca="false">(C10-B10)*10000</f>
        <v>-570</v>
      </c>
      <c r="E10" s="47"/>
      <c r="F10" s="47"/>
    </row>
    <row r="11" customFormat="false" ht="15" hidden="false" customHeight="true" outlineLevel="0" collapsed="false">
      <c r="A11" s="67" t="s">
        <v>346</v>
      </c>
      <c r="B11" s="69" t="n">
        <f aca="false">B8+B9+B10</f>
        <v>0.03</v>
      </c>
      <c r="C11" s="69" t="n">
        <f aca="false">C16/'2. Budget_FY2025_PL_CF'!B5-1</f>
        <v>-0.0204041421284235</v>
      </c>
      <c r="D11" s="81" t="n">
        <f aca="false">(C11-B11)*10000</f>
        <v>-504.041421284235</v>
      </c>
      <c r="E11" s="82"/>
      <c r="F11" s="82"/>
    </row>
    <row r="12" customFormat="false" ht="30" hidden="false" customHeight="true" outlineLevel="0" collapsed="false">
      <c r="A12" s="83" t="s">
        <v>347</v>
      </c>
      <c r="B12" s="83"/>
      <c r="C12" s="83"/>
      <c r="D12" s="83"/>
      <c r="E12" s="83"/>
      <c r="F12" s="30"/>
    </row>
    <row r="13" customFormat="false" ht="15" hidden="false" customHeight="true" outlineLevel="0" collapsed="false">
      <c r="A13" s="30"/>
      <c r="B13" s="30"/>
      <c r="C13" s="30"/>
      <c r="D13" s="30"/>
      <c r="E13" s="30"/>
      <c r="F13" s="30"/>
    </row>
    <row r="14" customFormat="false" ht="15" hidden="false" customHeight="true" outlineLevel="0" collapsed="false">
      <c r="A14" s="18" t="s">
        <v>348</v>
      </c>
      <c r="B14" s="18"/>
      <c r="C14" s="18"/>
      <c r="D14" s="18"/>
      <c r="E14" s="18"/>
      <c r="F14" s="18"/>
    </row>
    <row r="15" customFormat="false" ht="30" hidden="false" customHeight="true" outlineLevel="0" collapsed="false">
      <c r="A15" s="18" t="s">
        <v>315</v>
      </c>
      <c r="B15" s="34" t="s">
        <v>341</v>
      </c>
      <c r="C15" s="34" t="s">
        <v>342</v>
      </c>
      <c r="D15" s="34" t="s">
        <v>349</v>
      </c>
      <c r="E15" s="34" t="s">
        <v>350</v>
      </c>
      <c r="F15" s="74"/>
    </row>
    <row r="16" customFormat="false" ht="15" hidden="false" customHeight="true" outlineLevel="0" collapsed="false">
      <c r="A16" s="75" t="s">
        <v>138</v>
      </c>
      <c r="B16" s="66" t="n">
        <f aca="false">'2. Budget_FY2025_PL_CF'!D5</f>
        <v>94094.62</v>
      </c>
      <c r="C16" s="36" t="n">
        <v>89490</v>
      </c>
      <c r="D16" s="73" t="n">
        <f aca="false">C16-B16</f>
        <v>-4604.62</v>
      </c>
      <c r="E16" s="37" t="n">
        <f aca="false">IFERROR(C16/B16-1,"")</f>
        <v>-0.0489360603188577</v>
      </c>
      <c r="F16" s="47"/>
    </row>
    <row r="17" customFormat="false" ht="15" hidden="false" customHeight="true" outlineLevel="0" collapsed="false">
      <c r="A17" s="75" t="s">
        <v>139</v>
      </c>
      <c r="B17" s="66" t="n">
        <f aca="false">'2. Budget_FY2025_PL_CF'!D6</f>
        <v>376.37848</v>
      </c>
      <c r="C17" s="36" t="n">
        <v>395</v>
      </c>
      <c r="D17" s="73" t="n">
        <f aca="false">C17-B17</f>
        <v>18.62152</v>
      </c>
      <c r="E17" s="37" t="n">
        <f aca="false">IFERROR(C17/B17-1,"")</f>
        <v>0.0494755173037524</v>
      </c>
      <c r="F17" s="47"/>
    </row>
    <row r="18" customFormat="false" ht="15" hidden="false" customHeight="true" outlineLevel="0" collapsed="false">
      <c r="A18" s="75" t="s">
        <v>140</v>
      </c>
      <c r="B18" s="66" t="n">
        <f aca="false">'2. Budget_FY2025_PL_CF'!D7</f>
        <v>-49776.05398</v>
      </c>
      <c r="C18" s="36" t="n">
        <v>-48694</v>
      </c>
      <c r="D18" s="73" t="n">
        <f aca="false">C18-B18</f>
        <v>1082.05398</v>
      </c>
      <c r="E18" s="37" t="n">
        <f aca="false">IFERROR(C18/B18-1,"")</f>
        <v>-0.0217384443619167</v>
      </c>
      <c r="F18" s="47"/>
    </row>
    <row r="19" customFormat="false" ht="15" hidden="false" customHeight="true" outlineLevel="0" collapsed="false">
      <c r="A19" s="75" t="s">
        <v>141</v>
      </c>
      <c r="B19" s="66" t="n">
        <f aca="false">'2. Budget_FY2025_PL_CF'!D8</f>
        <v>-7715.75884</v>
      </c>
      <c r="C19" s="36" t="n">
        <v>-7306</v>
      </c>
      <c r="D19" s="73" t="n">
        <f aca="false">C19-B19</f>
        <v>409.75884</v>
      </c>
      <c r="E19" s="37" t="n">
        <f aca="false">IFERROR(C19/B19-1,"")</f>
        <v>-0.0531067453632337</v>
      </c>
      <c r="F19" s="47"/>
    </row>
    <row r="20" customFormat="false" ht="15" hidden="false" customHeight="true" outlineLevel="0" collapsed="false">
      <c r="A20" s="75" t="s">
        <v>142</v>
      </c>
      <c r="B20" s="66" t="n">
        <f aca="false">'2. Budget_FY2025_PL_CF'!D9</f>
        <v>-19665.77558</v>
      </c>
      <c r="C20" s="36" t="n">
        <v>-17883</v>
      </c>
      <c r="D20" s="73" t="n">
        <f aca="false">C20-B20</f>
        <v>1782.77558</v>
      </c>
      <c r="E20" s="37" t="n">
        <f aca="false">IFERROR(C20/B20-1,"")</f>
        <v>-0.0906537132363634</v>
      </c>
      <c r="F20" s="47"/>
    </row>
    <row r="21" customFormat="false" ht="15" hidden="false" customHeight="true" outlineLevel="0" collapsed="false">
      <c r="A21" s="75" t="s">
        <v>143</v>
      </c>
      <c r="B21" s="66" t="n">
        <f aca="false">'2. Budget_FY2025_PL_CF'!D10</f>
        <v>-1693.70316</v>
      </c>
      <c r="C21" s="36" t="n">
        <v>-1613</v>
      </c>
      <c r="D21" s="73" t="n">
        <f aca="false">C21-B21</f>
        <v>80.7031599999998</v>
      </c>
      <c r="E21" s="37" t="n">
        <f aca="false">IFERROR(C21/B21-1,"")</f>
        <v>-0.0476489398531912</v>
      </c>
      <c r="F21" s="47"/>
    </row>
    <row r="22" customFormat="false" ht="15" hidden="false" customHeight="true" outlineLevel="0" collapsed="false">
      <c r="A22" s="67" t="s">
        <v>322</v>
      </c>
      <c r="B22" s="68" t="n">
        <f aca="false">'2. Budget_FY2025_PL_CF'!D11</f>
        <v>15619.70692</v>
      </c>
      <c r="C22" s="48" t="n">
        <f aca="false">SUM(C16:C21)</f>
        <v>14389</v>
      </c>
      <c r="D22" s="48" t="n">
        <f aca="false">C22-B22</f>
        <v>-1230.70692</v>
      </c>
      <c r="E22" s="69" t="n">
        <f aca="false">IFERROR(C22/B22-1,"")</f>
        <v>-0.0787919342087119</v>
      </c>
      <c r="F22" s="82"/>
    </row>
    <row r="23" customFormat="false" ht="15" hidden="false" customHeight="true" outlineLevel="0" collapsed="false">
      <c r="A23" s="75" t="s">
        <v>323</v>
      </c>
      <c r="B23" s="66" t="n">
        <f aca="false">'2. Budget_FY2025_PL_CF'!D12</f>
        <v>-1317.32468</v>
      </c>
      <c r="C23" s="36" t="n">
        <v>-1714</v>
      </c>
      <c r="D23" s="73" t="n">
        <f aca="false">C23-B23</f>
        <v>-396.67532</v>
      </c>
      <c r="E23" s="37" t="n">
        <f aca="false">IFERROR(C23/B23-1,"")</f>
        <v>0.301121907167184</v>
      </c>
      <c r="F23" s="47"/>
    </row>
    <row r="24" customFormat="false" ht="15" hidden="false" customHeight="true" outlineLevel="0" collapsed="false">
      <c r="A24" s="67" t="s">
        <v>147</v>
      </c>
      <c r="B24" s="68" t="n">
        <f aca="false">'2. Budget_FY2025_PL_CF'!D13</f>
        <v>14302.38224</v>
      </c>
      <c r="C24" s="48" t="n">
        <f aca="false">C22+C23</f>
        <v>12675</v>
      </c>
      <c r="D24" s="48" t="n">
        <f aca="false">C24-B24</f>
        <v>-1627.38224</v>
      </c>
      <c r="E24" s="69" t="n">
        <f aca="false">IFERROR(C24/B24-1,"")</f>
        <v>-0.113783998545965</v>
      </c>
      <c r="F24" s="82"/>
    </row>
    <row r="25" customFormat="false" ht="15" hidden="false" customHeight="true" outlineLevel="0" collapsed="false">
      <c r="A25" s="75" t="s">
        <v>324</v>
      </c>
      <c r="B25" s="66" t="n">
        <f aca="false">'2. Budget_FY2025_PL_CF'!D14</f>
        <v>-188.18924</v>
      </c>
      <c r="C25" s="36" t="n">
        <v>-398</v>
      </c>
      <c r="D25" s="73" t="n">
        <f aca="false">C25-B25</f>
        <v>-209.81076</v>
      </c>
      <c r="E25" s="37" t="n">
        <f aca="false">IFERROR(C25/B25-1,"")</f>
        <v>1.11489243487035</v>
      </c>
      <c r="F25" s="47"/>
    </row>
    <row r="26" customFormat="false" ht="15" hidden="false" customHeight="true" outlineLevel="0" collapsed="false">
      <c r="A26" s="67" t="s">
        <v>150</v>
      </c>
      <c r="B26" s="68" t="n">
        <f aca="false">'2. Budget_FY2025_PL_CF'!D15</f>
        <v>14114.193</v>
      </c>
      <c r="C26" s="48" t="n">
        <f aca="false">C24+C25</f>
        <v>12277</v>
      </c>
      <c r="D26" s="48" t="n">
        <f aca="false">C26-B26</f>
        <v>-1837.193</v>
      </c>
      <c r="E26" s="69" t="n">
        <f aca="false">IFERROR(C26/B26-1,"")</f>
        <v>-0.130166350991516</v>
      </c>
      <c r="F26" s="82"/>
    </row>
    <row r="27" customFormat="false" ht="15" hidden="false" customHeight="true" outlineLevel="0" collapsed="false">
      <c r="A27" s="75" t="s">
        <v>151</v>
      </c>
      <c r="B27" s="66" t="n">
        <f aca="false">'2. Budget_FY2025_PL_CF'!D16</f>
        <v>358</v>
      </c>
      <c r="C27" s="36" t="n">
        <v>300</v>
      </c>
      <c r="D27" s="73" t="n">
        <f aca="false">C27-B27</f>
        <v>-58</v>
      </c>
      <c r="E27" s="37" t="n">
        <f aca="false">IFERROR(C27/B27-1,"")</f>
        <v>-0.162011173184358</v>
      </c>
      <c r="F27" s="47"/>
    </row>
    <row r="28" customFormat="false" ht="15" hidden="false" customHeight="true" outlineLevel="0" collapsed="false">
      <c r="A28" s="75" t="s">
        <v>152</v>
      </c>
      <c r="B28" s="66" t="n">
        <f aca="false">'2. Budget_FY2025_PL_CF'!D17</f>
        <v>-1917.25</v>
      </c>
      <c r="C28" s="36" t="n">
        <v>-1826</v>
      </c>
      <c r="D28" s="73" t="n">
        <f aca="false">C28-B28</f>
        <v>91.25</v>
      </c>
      <c r="E28" s="37" t="n">
        <f aca="false">IFERROR(C28/B28-1,"")</f>
        <v>-0.0475942104576868</v>
      </c>
      <c r="F28" s="47"/>
    </row>
    <row r="29" customFormat="false" ht="15" hidden="false" customHeight="true" outlineLevel="0" collapsed="false">
      <c r="A29" s="75" t="s">
        <v>153</v>
      </c>
      <c r="B29" s="66" t="n">
        <f aca="false">'2. Budget_FY2025_PL_CF'!D18</f>
        <v>-1559.25</v>
      </c>
      <c r="C29" s="73" t="n">
        <f aca="false">C27+C28</f>
        <v>-1526</v>
      </c>
      <c r="D29" s="73" t="n">
        <f aca="false">C29-B29</f>
        <v>33.25</v>
      </c>
      <c r="E29" s="37" t="n">
        <f aca="false">IFERROR(C29/B29-1,"")</f>
        <v>-0.021324354657688</v>
      </c>
      <c r="F29" s="47"/>
    </row>
    <row r="30" customFormat="false" ht="15" hidden="false" customHeight="true" outlineLevel="0" collapsed="false">
      <c r="A30" s="75" t="s">
        <v>154</v>
      </c>
      <c r="B30" s="66" t="n">
        <f aca="false">'2. Budget_FY2025_PL_CF'!D19</f>
        <v>12554.943</v>
      </c>
      <c r="C30" s="73" t="n">
        <f aca="false">C26+C29</f>
        <v>10751</v>
      </c>
      <c r="D30" s="73" t="n">
        <f aca="false">C30-B30</f>
        <v>-1803.943</v>
      </c>
      <c r="E30" s="37" t="n">
        <f aca="false">IFERROR(C30/B30-1,"")</f>
        <v>-0.143683886099682</v>
      </c>
      <c r="F30" s="47"/>
    </row>
    <row r="31" customFormat="false" ht="15" hidden="false" customHeight="true" outlineLevel="0" collapsed="false">
      <c r="A31" s="75" t="s">
        <v>155</v>
      </c>
      <c r="B31" s="66" t="n">
        <f aca="false">'2. Budget_FY2025_PL_CF'!D20</f>
        <v>1348.92</v>
      </c>
      <c r="C31" s="36" t="n">
        <v>1143</v>
      </c>
      <c r="D31" s="73" t="n">
        <f aca="false">C31-B31</f>
        <v>-205.92</v>
      </c>
      <c r="E31" s="37" t="n">
        <f aca="false">IFERROR(C31/B31-1,"")</f>
        <v>-0.152655457699493</v>
      </c>
      <c r="F31" s="47"/>
    </row>
    <row r="32" customFormat="false" ht="15" hidden="false" customHeight="true" outlineLevel="0" collapsed="false">
      <c r="A32" s="75" t="s">
        <v>156</v>
      </c>
      <c r="B32" s="66" t="n">
        <f aca="false">'2. Budget_FY2025_PL_CF'!D21</f>
        <v>-3013.18632</v>
      </c>
      <c r="C32" s="36" t="n">
        <v>-2640</v>
      </c>
      <c r="D32" s="73" t="n">
        <f aca="false">C32-B32</f>
        <v>373.186320000001</v>
      </c>
      <c r="E32" s="37" t="n">
        <f aca="false">IFERROR(C32/B32-1,"")</f>
        <v>-0.12385106009641</v>
      </c>
      <c r="F32" s="47"/>
    </row>
    <row r="33" customFormat="false" ht="15" hidden="false" customHeight="true" outlineLevel="0" collapsed="false">
      <c r="A33" s="67" t="s">
        <v>157</v>
      </c>
      <c r="B33" s="68" t="n">
        <f aca="false">'2. Budget_FY2025_PL_CF'!D22</f>
        <v>10890.67668</v>
      </c>
      <c r="C33" s="48" t="n">
        <f aca="false">C30+C31+C32</f>
        <v>9254</v>
      </c>
      <c r="D33" s="48" t="n">
        <f aca="false">C33-B33</f>
        <v>-1636.67668</v>
      </c>
      <c r="E33" s="69" t="n">
        <f aca="false">IFERROR(C33/B33-1,"")</f>
        <v>-0.15028236794557</v>
      </c>
      <c r="F33" s="82"/>
    </row>
    <row r="34" customFormat="false" ht="15" hidden="false" customHeight="true" outlineLevel="0" collapsed="false">
      <c r="A34" s="75" t="s">
        <v>158</v>
      </c>
      <c r="B34" s="66" t="n">
        <f aca="false">'2. Budget_FY2025_PL_CF'!D23</f>
        <v>283.15759368</v>
      </c>
      <c r="C34" s="36" t="n">
        <v>221</v>
      </c>
      <c r="D34" s="73" t="n">
        <f aca="false">C34-B34</f>
        <v>-62.1575936800001</v>
      </c>
      <c r="E34" s="37" t="n">
        <f aca="false">IFERROR(C34/B34-1,"")</f>
        <v>-0.219515898804554</v>
      </c>
      <c r="F34" s="47"/>
    </row>
    <row r="35" customFormat="false" ht="15" hidden="false" customHeight="true" outlineLevel="0" collapsed="false">
      <c r="A35" s="67" t="s">
        <v>159</v>
      </c>
      <c r="B35" s="68" t="n">
        <f aca="false">'2. Budget_FY2025_PL_CF'!D24</f>
        <v>10607.51908632</v>
      </c>
      <c r="C35" s="48" t="n">
        <f aca="false">C33-C34</f>
        <v>9033</v>
      </c>
      <c r="D35" s="48" t="n">
        <f aca="false">C35-B35</f>
        <v>-1574.51908632</v>
      </c>
      <c r="E35" s="69" t="n">
        <f aca="false">IFERROR(C35/B35-1,"")</f>
        <v>-0.148434244945228</v>
      </c>
      <c r="F35" s="82"/>
    </row>
    <row r="36" customFormat="false" ht="15" hidden="false" customHeight="true" outlineLevel="0" collapsed="false">
      <c r="A36" s="30"/>
      <c r="B36" s="30"/>
      <c r="C36" s="30"/>
      <c r="D36" s="30"/>
      <c r="E36" s="30"/>
      <c r="F36" s="30"/>
    </row>
    <row r="37" customFormat="false" ht="15" hidden="false" customHeight="true" outlineLevel="0" collapsed="false">
      <c r="A37" s="75" t="s">
        <v>160</v>
      </c>
      <c r="B37" s="37" t="n">
        <f aca="false">IFERROR(B22/B16,"")</f>
        <v>0.166</v>
      </c>
      <c r="C37" s="37" t="n">
        <f aca="false">IFERROR(C22/C16,"")</f>
        <v>0.160788914962566</v>
      </c>
      <c r="D37" s="76" t="n">
        <f aca="false">(C37-B37)*10000</f>
        <v>-52.1108503743439</v>
      </c>
      <c r="E37" s="47"/>
      <c r="F37" s="47"/>
    </row>
    <row r="38" customFormat="false" ht="15" hidden="false" customHeight="true" outlineLevel="0" collapsed="false">
      <c r="A38" s="75" t="s">
        <v>161</v>
      </c>
      <c r="B38" s="37" t="n">
        <f aca="false">IFERROR(B24/B16,"")</f>
        <v>0.152</v>
      </c>
      <c r="C38" s="37" t="n">
        <f aca="false">IFERROR(C24/C16,"")</f>
        <v>0.141635936976198</v>
      </c>
      <c r="D38" s="76" t="n">
        <f aca="false">(C38-B38)*10000</f>
        <v>-103.640630238016</v>
      </c>
      <c r="E38" s="47"/>
      <c r="F38" s="47"/>
    </row>
    <row r="39" customFormat="false" ht="15" hidden="false" customHeight="true" outlineLevel="0" collapsed="false">
      <c r="A39" s="75" t="s">
        <v>162</v>
      </c>
      <c r="B39" s="37" t="n">
        <f aca="false">IFERROR(B26/B16,"")</f>
        <v>0.15</v>
      </c>
      <c r="C39" s="37" t="n">
        <f aca="false">IFERROR(C26/C16,"")</f>
        <v>0.137188512682981</v>
      </c>
      <c r="D39" s="76" t="n">
        <f aca="false">(C39-B39)*10000</f>
        <v>-128.114873170187</v>
      </c>
      <c r="E39" s="47"/>
      <c r="F39" s="47"/>
    </row>
    <row r="40" customFormat="false" ht="15" hidden="false" customHeight="true" outlineLevel="0" collapsed="false">
      <c r="A40" s="75" t="s">
        <v>163</v>
      </c>
      <c r="B40" s="37" t="n">
        <f aca="false">IFERROR(B35/B16,"")</f>
        <v>0.112732471700507</v>
      </c>
      <c r="C40" s="37" t="n">
        <f aca="false">IFERROR(C35/C16,"")</f>
        <v>0.100938652363393</v>
      </c>
      <c r="D40" s="76" t="n">
        <f aca="false">(C40-B40)*10000</f>
        <v>-117.938193371149</v>
      </c>
      <c r="E40" s="47"/>
      <c r="F40" s="47"/>
    </row>
    <row r="41" customFormat="false" ht="15" hidden="false" customHeight="true" outlineLevel="0" collapsed="false">
      <c r="A41" s="75" t="s">
        <v>262</v>
      </c>
      <c r="B41" s="37" t="n">
        <f aca="false">IFERROR(-B32/B30,"")</f>
        <v>0.24</v>
      </c>
      <c r="C41" s="37" t="n">
        <f aca="false">IFERROR(-C32/C30,"")</f>
        <v>0.245558552692773</v>
      </c>
      <c r="D41" s="76" t="n">
        <f aca="false">(C41-B41)*10000</f>
        <v>55.5855269277278</v>
      </c>
      <c r="E41" s="47"/>
      <c r="F41" s="47"/>
    </row>
    <row r="42" customFormat="false" ht="15" hidden="false" customHeight="true" outlineLevel="0" collapsed="false">
      <c r="A42" s="30"/>
      <c r="B42" s="30"/>
      <c r="C42" s="30"/>
      <c r="D42" s="30"/>
      <c r="E42" s="30"/>
      <c r="F42" s="30"/>
    </row>
    <row r="43" customFormat="false" ht="15" hidden="false" customHeight="true" outlineLevel="0" collapsed="false">
      <c r="A43" s="75" t="s">
        <v>325</v>
      </c>
      <c r="B43" s="84" t="n">
        <f aca="false">'2. Budget_FY2025_PL_CF'!D32</f>
        <v>4.15215840854895</v>
      </c>
      <c r="C43" s="85" t="n">
        <v>3.51</v>
      </c>
      <c r="D43" s="86" t="n">
        <f aca="false">C43-B43</f>
        <v>-0.642158408548951</v>
      </c>
      <c r="E43" s="37" t="n">
        <f aca="false">IFERROR(C43/B43-1,"")</f>
        <v>-0.154656529294932</v>
      </c>
      <c r="F43" s="47"/>
    </row>
    <row r="44" customFormat="false" ht="15" hidden="false" customHeight="true" outlineLevel="0" collapsed="false">
      <c r="A44" s="30"/>
      <c r="B44" s="30"/>
      <c r="C44" s="30"/>
      <c r="D44" s="30"/>
      <c r="E44" s="30"/>
      <c r="F44" s="30"/>
    </row>
    <row r="45" customFormat="false" ht="30" hidden="false" customHeight="true" outlineLevel="0" collapsed="false">
      <c r="A45" s="83" t="s">
        <v>351</v>
      </c>
      <c r="B45" s="83"/>
      <c r="C45" s="83"/>
      <c r="D45" s="83"/>
      <c r="E45" s="83"/>
      <c r="F45" s="30"/>
    </row>
    <row r="46" customFormat="false" ht="15" hidden="false" customHeight="true" outlineLevel="0" collapsed="false">
      <c r="A46" s="30"/>
      <c r="B46" s="30"/>
      <c r="C46" s="30"/>
      <c r="D46" s="30"/>
      <c r="E46" s="30"/>
      <c r="F46" s="30"/>
    </row>
    <row r="47" customFormat="false" ht="15" hidden="false" customHeight="true" outlineLevel="0" collapsed="false">
      <c r="A47" s="18" t="s">
        <v>352</v>
      </c>
      <c r="B47" s="18"/>
      <c r="C47" s="18"/>
      <c r="D47" s="18"/>
      <c r="E47" s="18"/>
      <c r="F47" s="18"/>
    </row>
    <row r="48" customFormat="false" ht="30" hidden="false" customHeight="true" outlineLevel="0" collapsed="false">
      <c r="A48" s="18" t="s">
        <v>315</v>
      </c>
      <c r="B48" s="34" t="s">
        <v>341</v>
      </c>
      <c r="C48" s="34" t="s">
        <v>342</v>
      </c>
      <c r="D48" s="34" t="s">
        <v>349</v>
      </c>
      <c r="E48" s="34" t="s">
        <v>350</v>
      </c>
      <c r="F48" s="74"/>
    </row>
    <row r="49" customFormat="false" ht="15" hidden="false" customHeight="true" outlineLevel="0" collapsed="false">
      <c r="A49" s="30"/>
      <c r="B49" s="30"/>
      <c r="C49" s="30"/>
      <c r="D49" s="30"/>
      <c r="E49" s="30"/>
      <c r="F49" s="30"/>
    </row>
    <row r="50" customFormat="false" ht="15" hidden="false" customHeight="true" outlineLevel="0" collapsed="false">
      <c r="A50" s="87" t="s">
        <v>172</v>
      </c>
      <c r="B50" s="30"/>
      <c r="C50" s="30"/>
      <c r="D50" s="30"/>
      <c r="E50" s="30"/>
      <c r="F50" s="30"/>
    </row>
    <row r="51" customFormat="false" ht="15" hidden="false" customHeight="true" outlineLevel="0" collapsed="false">
      <c r="A51" s="75" t="s">
        <v>327</v>
      </c>
      <c r="B51" s="66" t="n">
        <f aca="false">'2. Budget_FY2025_PL_CF'!D36</f>
        <v>14114.193</v>
      </c>
      <c r="C51" s="73" t="n">
        <f aca="false">C26</f>
        <v>12277</v>
      </c>
      <c r="D51" s="73" t="n">
        <f aca="false">C51-B51</f>
        <v>-1837.193</v>
      </c>
      <c r="E51" s="37" t="n">
        <f aca="false">IFERROR(C51/B51-1,"")</f>
        <v>-0.130166350991516</v>
      </c>
      <c r="F51" s="47"/>
    </row>
    <row r="52" customFormat="false" ht="15" hidden="false" customHeight="true" outlineLevel="0" collapsed="false">
      <c r="A52" s="75" t="s">
        <v>174</v>
      </c>
      <c r="B52" s="66" t="n">
        <f aca="false">'2. Budget_FY2025_PL_CF'!D37</f>
        <v>3669.69018</v>
      </c>
      <c r="C52" s="36" t="n">
        <v>3633</v>
      </c>
      <c r="D52" s="73" t="n">
        <f aca="false">C52-B52</f>
        <v>-36.6901799999996</v>
      </c>
      <c r="E52" s="37" t="n">
        <f aca="false">IFERROR(C52/B52-1,"")</f>
        <v>-0.00999816829223432</v>
      </c>
      <c r="F52" s="47"/>
    </row>
    <row r="53" customFormat="false" ht="15" hidden="false" customHeight="true" outlineLevel="0" collapsed="false">
      <c r="A53" s="75" t="s">
        <v>175</v>
      </c>
      <c r="B53" s="66" t="n">
        <f aca="false">'2. Budget_FY2025_PL_CF'!D38</f>
        <v>580</v>
      </c>
      <c r="C53" s="36" t="n">
        <v>923</v>
      </c>
      <c r="D53" s="73" t="n">
        <f aca="false">C53-B53</f>
        <v>343</v>
      </c>
      <c r="E53" s="37" t="n">
        <f aca="false">IFERROR(C53/B53-1,"")</f>
        <v>0.591379310344828</v>
      </c>
      <c r="F53" s="47"/>
    </row>
    <row r="54" customFormat="false" ht="15" hidden="false" customHeight="true" outlineLevel="0" collapsed="false">
      <c r="A54" s="75" t="s">
        <v>328</v>
      </c>
      <c r="B54" s="66" t="n">
        <f aca="false">'2. Budget_FY2025_PL_CF'!D39</f>
        <v>0</v>
      </c>
      <c r="C54" s="36" t="n">
        <v>347</v>
      </c>
      <c r="D54" s="73" t="n">
        <f aca="false">C54-B54</f>
        <v>347</v>
      </c>
      <c r="E54" s="37" t="str">
        <f aca="false">IFERROR(C54/B54-1,"")</f>
        <v/>
      </c>
      <c r="F54" s="47"/>
    </row>
    <row r="55" customFormat="false" ht="15" hidden="false" customHeight="true" outlineLevel="0" collapsed="false">
      <c r="A55" s="67" t="s">
        <v>178</v>
      </c>
      <c r="B55" s="68" t="n">
        <f aca="false">'2. Budget_FY2025_PL_CF'!D40</f>
        <v>18363.88318</v>
      </c>
      <c r="C55" s="48" t="n">
        <f aca="false">SUM(C51:C54)</f>
        <v>17180</v>
      </c>
      <c r="D55" s="48" t="n">
        <f aca="false">C55-B55</f>
        <v>-1183.88318</v>
      </c>
      <c r="E55" s="69" t="n">
        <f aca="false">IFERROR(C55/B55-1,"")</f>
        <v>-0.0644680195575065</v>
      </c>
      <c r="F55" s="82"/>
    </row>
    <row r="56" customFormat="false" ht="15" hidden="false" customHeight="true" outlineLevel="0" collapsed="false">
      <c r="A56" s="75" t="s">
        <v>329</v>
      </c>
      <c r="B56" s="66" t="n">
        <f aca="false">'2. Budget_FY2025_PL_CF'!D41</f>
        <v>0</v>
      </c>
      <c r="C56" s="36" t="n">
        <v>-319</v>
      </c>
      <c r="D56" s="73" t="n">
        <f aca="false">C56-B56</f>
        <v>-319</v>
      </c>
      <c r="E56" s="37" t="str">
        <f aca="false">IFERROR(C56/B56-1,"")</f>
        <v/>
      </c>
      <c r="F56" s="47"/>
    </row>
    <row r="57" customFormat="false" ht="15" hidden="false" customHeight="true" outlineLevel="0" collapsed="false">
      <c r="A57" s="67" t="s">
        <v>181</v>
      </c>
      <c r="B57" s="68" t="n">
        <f aca="false">'2. Budget_FY2025_PL_CF'!D42</f>
        <v>18363.88318</v>
      </c>
      <c r="C57" s="48" t="n">
        <f aca="false">C55+C56</f>
        <v>16861</v>
      </c>
      <c r="D57" s="48" t="n">
        <f aca="false">C57-B57</f>
        <v>-1502.88318</v>
      </c>
      <c r="E57" s="69" t="n">
        <f aca="false">IFERROR(C57/B57-1,"")</f>
        <v>-0.0818390732106588</v>
      </c>
      <c r="F57" s="82"/>
    </row>
    <row r="58" customFormat="false" ht="15" hidden="false" customHeight="true" outlineLevel="0" collapsed="false">
      <c r="A58" s="75" t="s">
        <v>182</v>
      </c>
      <c r="B58" s="66" t="n">
        <f aca="false">'2. Budget_FY2025_PL_CF'!D43</f>
        <v>-1600.90375</v>
      </c>
      <c r="C58" s="36" t="n">
        <v>-1618</v>
      </c>
      <c r="D58" s="73" t="n">
        <f aca="false">C58-B58</f>
        <v>-17.0962500000001</v>
      </c>
      <c r="E58" s="37" t="n">
        <f aca="false">IFERROR(C58/B58-1,"")</f>
        <v>0.0106791242134325</v>
      </c>
      <c r="F58" s="47"/>
    </row>
    <row r="59" customFormat="false" ht="15" hidden="false" customHeight="true" outlineLevel="0" collapsed="false">
      <c r="A59" s="75" t="s">
        <v>183</v>
      </c>
      <c r="B59" s="66" t="n">
        <f aca="false">'2. Budget_FY2025_PL_CF'!D44</f>
        <v>273.154</v>
      </c>
      <c r="C59" s="36" t="n">
        <v>205</v>
      </c>
      <c r="D59" s="73" t="n">
        <f aca="false">C59-B59</f>
        <v>-68.154</v>
      </c>
      <c r="E59" s="37" t="n">
        <f aca="false">IFERROR(C59/B59-1,"")</f>
        <v>-0.249507603769302</v>
      </c>
      <c r="F59" s="47"/>
    </row>
    <row r="60" customFormat="false" ht="15" hidden="false" customHeight="true" outlineLevel="0" collapsed="false">
      <c r="A60" s="75" t="s">
        <v>184</v>
      </c>
      <c r="B60" s="66" t="n">
        <f aca="false">'2. Budget_FY2025_PL_CF'!D45</f>
        <v>-2190.58645464</v>
      </c>
      <c r="C60" s="36" t="n">
        <v>-2298</v>
      </c>
      <c r="D60" s="73" t="n">
        <f aca="false">C60-B60</f>
        <v>-107.41354536</v>
      </c>
      <c r="E60" s="37" t="n">
        <f aca="false">IFERROR(C60/B60-1,"")</f>
        <v>0.0490341502534544</v>
      </c>
      <c r="F60" s="47"/>
    </row>
    <row r="61" customFormat="false" ht="15" hidden="false" customHeight="true" outlineLevel="0" collapsed="false">
      <c r="A61" s="75" t="s">
        <v>185</v>
      </c>
      <c r="B61" s="66" t="n">
        <f aca="false">'2. Budget_FY2025_PL_CF'!D46</f>
        <v>820.14336</v>
      </c>
      <c r="C61" s="36" t="n">
        <v>2754</v>
      </c>
      <c r="D61" s="73" t="n">
        <f aca="false">C61-B61</f>
        <v>1933.85664</v>
      </c>
      <c r="E61" s="37" t="n">
        <f aca="false">IFERROR(C61/B61-1,"")</f>
        <v>2.35794951750874</v>
      </c>
      <c r="F61" s="47"/>
    </row>
    <row r="62" customFormat="false" ht="15" hidden="false" customHeight="true" outlineLevel="0" collapsed="false">
      <c r="A62" s="67" t="s">
        <v>186</v>
      </c>
      <c r="B62" s="68" t="n">
        <f aca="false">'2. Budget_FY2025_PL_CF'!D47</f>
        <v>15665.69033536</v>
      </c>
      <c r="C62" s="48" t="n">
        <f aca="false">C57+C58+C59+C60+C61</f>
        <v>15904</v>
      </c>
      <c r="D62" s="48" t="n">
        <f aca="false">C62-B62</f>
        <v>238.309664639999</v>
      </c>
      <c r="E62" s="69" t="n">
        <f aca="false">IFERROR(C62/B62-1,"")</f>
        <v>0.0152122031993762</v>
      </c>
      <c r="F62" s="82"/>
    </row>
    <row r="63" customFormat="false" ht="15" hidden="false" customHeight="true" outlineLevel="0" collapsed="false">
      <c r="A63" s="30"/>
      <c r="B63" s="30"/>
      <c r="C63" s="30"/>
      <c r="D63" s="30"/>
      <c r="E63" s="30"/>
      <c r="F63" s="30"/>
    </row>
    <row r="64" customFormat="false" ht="15" hidden="false" customHeight="true" outlineLevel="0" collapsed="false">
      <c r="A64" s="87" t="s">
        <v>187</v>
      </c>
      <c r="B64" s="30"/>
      <c r="C64" s="30"/>
      <c r="D64" s="30"/>
      <c r="E64" s="30"/>
      <c r="F64" s="30"/>
    </row>
    <row r="65" customFormat="false" ht="15" hidden="false" customHeight="true" outlineLevel="0" collapsed="false">
      <c r="A65" s="75" t="s">
        <v>188</v>
      </c>
      <c r="B65" s="66" t="n">
        <f aca="false">'2. Budget_FY2025_PL_CF'!D50</f>
        <v>-5833.86644</v>
      </c>
      <c r="C65" s="36" t="n">
        <v>-4527</v>
      </c>
      <c r="D65" s="73" t="n">
        <f aca="false">C65-B65</f>
        <v>1306.86644</v>
      </c>
      <c r="E65" s="37" t="n">
        <f aca="false">IFERROR(C65/B65-1,"")</f>
        <v>-0.224013774302313</v>
      </c>
      <c r="F65" s="47"/>
    </row>
    <row r="66" customFormat="false" ht="15" hidden="false" customHeight="true" outlineLevel="0" collapsed="false">
      <c r="A66" s="75" t="s">
        <v>189</v>
      </c>
      <c r="B66" s="66" t="n">
        <f aca="false">'2. Budget_FY2025_PL_CF'!D51</f>
        <v>-376.37848</v>
      </c>
      <c r="C66" s="36" t="n">
        <v>-384</v>
      </c>
      <c r="D66" s="73" t="n">
        <f aca="false">C66-B66</f>
        <v>-7.62152000000003</v>
      </c>
      <c r="E66" s="37" t="n">
        <f aca="false">IFERROR(C66/B66-1,"")</f>
        <v>0.0202496168218758</v>
      </c>
      <c r="F66" s="47"/>
    </row>
    <row r="67" customFormat="false" ht="15" hidden="false" customHeight="true" outlineLevel="0" collapsed="false">
      <c r="A67" s="75" t="s">
        <v>330</v>
      </c>
      <c r="B67" s="66" t="n">
        <f aca="false">'2. Budget_FY2025_PL_CF'!D52</f>
        <v>0</v>
      </c>
      <c r="C67" s="36" t="n">
        <v>-156</v>
      </c>
      <c r="D67" s="73" t="n">
        <f aca="false">C67-B67</f>
        <v>-156</v>
      </c>
      <c r="E67" s="37" t="str">
        <f aca="false">IFERROR(C67/B67-1,"")</f>
        <v/>
      </c>
      <c r="F67" s="47"/>
    </row>
    <row r="68" customFormat="false" ht="15" hidden="false" customHeight="true" outlineLevel="0" collapsed="false">
      <c r="A68" s="75" t="s">
        <v>192</v>
      </c>
      <c r="B68" s="66" t="n">
        <f aca="false">'2. Budget_FY2025_PL_CF'!D53</f>
        <v>-564.56772</v>
      </c>
      <c r="C68" s="36" t="n">
        <v>208</v>
      </c>
      <c r="D68" s="73" t="n">
        <f aca="false">C68-B68</f>
        <v>772.56772</v>
      </c>
      <c r="E68" s="37" t="n">
        <f aca="false">IFERROR(C68/B68-1,"")</f>
        <v>-1.36842347274123</v>
      </c>
      <c r="F68" s="47"/>
    </row>
    <row r="69" customFormat="false" ht="15" hidden="false" customHeight="true" outlineLevel="0" collapsed="false">
      <c r="A69" s="75" t="s">
        <v>193</v>
      </c>
      <c r="B69" s="66" t="n">
        <f aca="false">'2. Budget_FY2025_PL_CF'!D54</f>
        <v>0</v>
      </c>
      <c r="C69" s="36" t="n">
        <v>0</v>
      </c>
      <c r="D69" s="73" t="n">
        <f aca="false">C69-B69</f>
        <v>0</v>
      </c>
      <c r="E69" s="37" t="str">
        <f aca="false">IFERROR(C69/B69-1,"")</f>
        <v/>
      </c>
      <c r="F69" s="47"/>
    </row>
    <row r="70" customFormat="false" ht="15" hidden="false" customHeight="true" outlineLevel="0" collapsed="false">
      <c r="A70" s="75" t="s">
        <v>331</v>
      </c>
      <c r="B70" s="66" t="n">
        <f aca="false">'2. Budget_FY2025_PL_CF'!D55</f>
        <v>0</v>
      </c>
      <c r="C70" s="36" t="n">
        <v>492</v>
      </c>
      <c r="D70" s="73" t="n">
        <f aca="false">C70-B70</f>
        <v>492</v>
      </c>
      <c r="E70" s="37" t="str">
        <f aca="false">IFERROR(C70/B70-1,"")</f>
        <v/>
      </c>
      <c r="F70" s="47"/>
    </row>
    <row r="71" customFormat="false" ht="15" hidden="false" customHeight="true" outlineLevel="0" collapsed="false">
      <c r="A71" s="67" t="s">
        <v>196</v>
      </c>
      <c r="B71" s="68" t="n">
        <f aca="false">'2. Budget_FY2025_PL_CF'!D56</f>
        <v>-6774.81264</v>
      </c>
      <c r="C71" s="48" t="n">
        <f aca="false">SUM(C65:C70)</f>
        <v>-4367</v>
      </c>
      <c r="D71" s="48" t="n">
        <f aca="false">C71-B71</f>
        <v>2407.81264</v>
      </c>
      <c r="E71" s="69" t="n">
        <f aca="false">IFERROR(C71/B71-1,"")</f>
        <v>-0.355406528260832</v>
      </c>
      <c r="F71" s="82"/>
    </row>
    <row r="72" customFormat="false" ht="15" hidden="false" customHeight="true" outlineLevel="0" collapsed="false">
      <c r="A72" s="30"/>
      <c r="B72" s="30"/>
      <c r="C72" s="30"/>
      <c r="D72" s="30"/>
      <c r="E72" s="30"/>
      <c r="F72" s="30"/>
    </row>
    <row r="73" customFormat="false" ht="15" hidden="false" customHeight="true" outlineLevel="0" collapsed="false">
      <c r="A73" s="87" t="s">
        <v>197</v>
      </c>
      <c r="B73" s="30"/>
      <c r="C73" s="30"/>
      <c r="D73" s="30"/>
      <c r="E73" s="30"/>
      <c r="F73" s="30"/>
    </row>
    <row r="74" customFormat="false" ht="15" hidden="false" customHeight="true" outlineLevel="0" collapsed="false">
      <c r="A74" s="75" t="s">
        <v>198</v>
      </c>
      <c r="B74" s="66" t="n">
        <f aca="false">'2. Budget_FY2025_PL_CF'!D59</f>
        <v>-7972.32</v>
      </c>
      <c r="C74" s="36" t="n">
        <v>-7849</v>
      </c>
      <c r="D74" s="73" t="n">
        <f aca="false">C74-B74</f>
        <v>123.32</v>
      </c>
      <c r="E74" s="37" t="n">
        <f aca="false">IFERROR(C74/B74-1,"")</f>
        <v>-0.0154685210829469</v>
      </c>
      <c r="F74" s="47"/>
    </row>
    <row r="75" customFormat="false" ht="15" hidden="false" customHeight="true" outlineLevel="0" collapsed="false">
      <c r="A75" s="75" t="s">
        <v>199</v>
      </c>
      <c r="B75" s="66" t="n">
        <f aca="false">'2. Budget_FY2025_PL_CF'!D60</f>
        <v>-174</v>
      </c>
      <c r="C75" s="36" t="n">
        <v>-172</v>
      </c>
      <c r="D75" s="73" t="n">
        <f aca="false">C75-B75</f>
        <v>2</v>
      </c>
      <c r="E75" s="37" t="n">
        <f aca="false">IFERROR(C75/B75-1,"")</f>
        <v>-0.0114942528735632</v>
      </c>
      <c r="F75" s="47"/>
    </row>
    <row r="76" customFormat="false" ht="15" hidden="false" customHeight="true" outlineLevel="0" collapsed="false">
      <c r="A76" s="75" t="s">
        <v>200</v>
      </c>
      <c r="B76" s="66" t="n">
        <f aca="false">'2. Budget_FY2025_PL_CF'!D61</f>
        <v>0</v>
      </c>
      <c r="C76" s="36" t="n">
        <v>-1190</v>
      </c>
      <c r="D76" s="73" t="n">
        <f aca="false">C76-B76</f>
        <v>-1190</v>
      </c>
      <c r="E76" s="37" t="str">
        <f aca="false">IFERROR(C76/B76-1,"")</f>
        <v/>
      </c>
      <c r="F76" s="47"/>
    </row>
    <row r="77" customFormat="false" ht="15" hidden="false" customHeight="true" outlineLevel="0" collapsed="false">
      <c r="A77" s="75" t="s">
        <v>201</v>
      </c>
      <c r="B77" s="66" t="n">
        <f aca="false">'2. Budget_FY2025_PL_CF'!D62</f>
        <v>0</v>
      </c>
      <c r="C77" s="36" t="n">
        <v>-213</v>
      </c>
      <c r="D77" s="73" t="n">
        <f aca="false">C77-B77</f>
        <v>-213</v>
      </c>
      <c r="E77" s="37" t="str">
        <f aca="false">IFERROR(C77/B77-1,"")</f>
        <v/>
      </c>
      <c r="F77" s="47"/>
    </row>
    <row r="78" customFormat="false" ht="15" hidden="false" customHeight="true" outlineLevel="0" collapsed="false">
      <c r="A78" s="75" t="s">
        <v>202</v>
      </c>
      <c r="B78" s="66" t="n">
        <f aca="false">'2. Budget_FY2025_PL_CF'!D63</f>
        <v>7992</v>
      </c>
      <c r="C78" s="36" t="n">
        <v>2803</v>
      </c>
      <c r="D78" s="73" t="n">
        <f aca="false">C78-B78</f>
        <v>-5189</v>
      </c>
      <c r="E78" s="37" t="n">
        <f aca="false">IFERROR(C78/B78-1,"")</f>
        <v>-0.649274274274274</v>
      </c>
      <c r="F78" s="47"/>
    </row>
    <row r="79" customFormat="false" ht="15" hidden="false" customHeight="true" outlineLevel="0" collapsed="false">
      <c r="A79" s="75" t="s">
        <v>203</v>
      </c>
      <c r="B79" s="66" t="n">
        <f aca="false">'2. Budget_FY2025_PL_CF'!D64</f>
        <v>-5055</v>
      </c>
      <c r="C79" s="36" t="n">
        <v>-4408</v>
      </c>
      <c r="D79" s="73" t="n">
        <f aca="false">C79-B79</f>
        <v>647</v>
      </c>
      <c r="E79" s="37" t="n">
        <f aca="false">IFERROR(C79/B79-1,"")</f>
        <v>-0.127992087042532</v>
      </c>
      <c r="F79" s="47"/>
    </row>
    <row r="80" customFormat="false" ht="15" hidden="false" customHeight="true" outlineLevel="0" collapsed="false">
      <c r="A80" s="75" t="s">
        <v>204</v>
      </c>
      <c r="B80" s="66" t="n">
        <f aca="false">'2. Budget_FY2025_PL_CF'!D65</f>
        <v>0</v>
      </c>
      <c r="C80" s="36" t="n">
        <v>-1036</v>
      </c>
      <c r="D80" s="73" t="n">
        <f aca="false">C80-B80</f>
        <v>-1036</v>
      </c>
      <c r="E80" s="37" t="str">
        <f aca="false">IFERROR(C80/B80-1,"")</f>
        <v/>
      </c>
      <c r="F80" s="47"/>
    </row>
    <row r="81" customFormat="false" ht="15" hidden="false" customHeight="true" outlineLevel="0" collapsed="false">
      <c r="A81" s="67" t="s">
        <v>205</v>
      </c>
      <c r="B81" s="68" t="n">
        <f aca="false">'2. Budget_FY2025_PL_CF'!D66</f>
        <v>-5209.32</v>
      </c>
      <c r="C81" s="48" t="n">
        <f aca="false">SUM(C74:C80)</f>
        <v>-12065</v>
      </c>
      <c r="D81" s="48" t="n">
        <f aca="false">C81-B81</f>
        <v>-6855.68</v>
      </c>
      <c r="E81" s="69" t="n">
        <f aca="false">IFERROR(C81/B81-1,"")</f>
        <v>1.31604124914576</v>
      </c>
      <c r="F81" s="82"/>
    </row>
    <row r="82" customFormat="false" ht="15" hidden="false" customHeight="true" outlineLevel="0" collapsed="false">
      <c r="A82" s="30"/>
      <c r="B82" s="30"/>
      <c r="C82" s="30"/>
      <c r="D82" s="30"/>
      <c r="E82" s="30"/>
      <c r="F82" s="30"/>
    </row>
    <row r="83" customFormat="false" ht="15" hidden="false" customHeight="true" outlineLevel="0" collapsed="false">
      <c r="A83" s="87" t="s">
        <v>206</v>
      </c>
      <c r="B83" s="30"/>
      <c r="C83" s="30"/>
      <c r="D83" s="30"/>
      <c r="E83" s="30"/>
      <c r="F83" s="30"/>
    </row>
    <row r="84" customFormat="false" ht="15" hidden="false" customHeight="true" outlineLevel="0" collapsed="false">
      <c r="A84" s="75" t="s">
        <v>207</v>
      </c>
      <c r="B84" s="66" t="n">
        <f aca="false">'2. Budget_FY2025_PL_CF'!D69</f>
        <v>0</v>
      </c>
      <c r="C84" s="36" t="n">
        <v>-435</v>
      </c>
      <c r="D84" s="73" t="n">
        <f aca="false">C84-B84</f>
        <v>-435</v>
      </c>
      <c r="E84" s="37" t="str">
        <f aca="false">IFERROR(C84/B84-1,"")</f>
        <v/>
      </c>
      <c r="F84" s="47"/>
    </row>
    <row r="85" customFormat="false" ht="15" hidden="false" customHeight="true" outlineLevel="0" collapsed="false">
      <c r="A85" s="67" t="s">
        <v>208</v>
      </c>
      <c r="B85" s="68" t="n">
        <f aca="false">'2. Budget_FY2025_PL_CF'!D70</f>
        <v>3681.55769536</v>
      </c>
      <c r="C85" s="48" t="n">
        <f aca="false">C62+C71+C81+C84</f>
        <v>-963</v>
      </c>
      <c r="D85" s="48" t="n">
        <f aca="false">C85-B85</f>
        <v>-4644.55769536</v>
      </c>
      <c r="E85" s="69" t="n">
        <f aca="false">IFERROR(C85/B85-1,"")</f>
        <v>-1.26157406176568</v>
      </c>
      <c r="F85" s="82"/>
    </row>
    <row r="86" customFormat="false" ht="15" hidden="false" customHeight="true" outlineLevel="0" collapsed="false">
      <c r="A86" s="75" t="s">
        <v>209</v>
      </c>
      <c r="B86" s="66" t="n">
        <f aca="false">'2. Budget_FY2025_PL_CF'!D71</f>
        <v>5558</v>
      </c>
      <c r="C86" s="66" t="n">
        <f aca="false">'1. Cash_Flow_Statement'!E45</f>
        <v>5558</v>
      </c>
      <c r="D86" s="73" t="n">
        <f aca="false">C86-B86</f>
        <v>0</v>
      </c>
      <c r="E86" s="37" t="n">
        <f aca="false">IFERROR(C86/B86-1,"")</f>
        <v>0</v>
      </c>
      <c r="F86" s="47"/>
    </row>
    <row r="87" customFormat="false" ht="15" hidden="false" customHeight="true" outlineLevel="0" collapsed="false">
      <c r="A87" s="67" t="s">
        <v>210</v>
      </c>
      <c r="B87" s="68" t="n">
        <f aca="false">'2. Budget_FY2025_PL_CF'!D72</f>
        <v>9239.55769536</v>
      </c>
      <c r="C87" s="48" t="n">
        <f aca="false">C85+C86</f>
        <v>4595</v>
      </c>
      <c r="D87" s="48" t="n">
        <f aca="false">C87-B87</f>
        <v>-4644.55769536</v>
      </c>
      <c r="E87" s="69" t="n">
        <f aca="false">IFERROR(C87/B87-1,"")</f>
        <v>-0.502681821846564</v>
      </c>
      <c r="F87" s="82"/>
    </row>
    <row r="88" customFormat="false" ht="15" hidden="false" customHeight="true" outlineLevel="0" collapsed="false">
      <c r="A88" s="30"/>
      <c r="B88" s="30"/>
      <c r="C88" s="30"/>
      <c r="D88" s="30"/>
      <c r="E88" s="30"/>
      <c r="F88" s="30"/>
    </row>
    <row r="89" customFormat="false" ht="15" hidden="false" customHeight="true" outlineLevel="0" collapsed="false">
      <c r="A89" s="87" t="s">
        <v>213</v>
      </c>
      <c r="B89" s="30"/>
      <c r="C89" s="30"/>
      <c r="D89" s="30"/>
      <c r="E89" s="30"/>
      <c r="F89" s="30"/>
    </row>
    <row r="90" customFormat="false" ht="15" hidden="false" customHeight="true" outlineLevel="0" collapsed="false">
      <c r="A90" s="75" t="s">
        <v>214</v>
      </c>
      <c r="B90" s="66" t="n">
        <f aca="false">'2. Budget_FY2025_PL_CF'!D75</f>
        <v>9455.44541536</v>
      </c>
      <c r="C90" s="36" t="n">
        <v>9154</v>
      </c>
      <c r="D90" s="73" t="n">
        <f aca="false">C90-B90</f>
        <v>-301.445415360002</v>
      </c>
      <c r="E90" s="37" t="n">
        <f aca="false">IFERROR(C90/B90-1,"")</f>
        <v>-0.0318806150443548</v>
      </c>
      <c r="F90" s="47"/>
    </row>
    <row r="91" customFormat="false" ht="15" hidden="false" customHeight="true" outlineLevel="0" collapsed="false">
      <c r="A91" s="75" t="s">
        <v>215</v>
      </c>
      <c r="B91" s="66" t="n">
        <f aca="false">'2. Budget_FY2025_PL_CF'!D75</f>
        <v>9455.44541536</v>
      </c>
      <c r="C91" s="73" t="n">
        <f aca="false">C62+C65+C66</f>
        <v>10993</v>
      </c>
      <c r="D91" s="73" t="n">
        <f aca="false">C91-B91</f>
        <v>1537.55458464</v>
      </c>
      <c r="E91" s="37" t="n">
        <f aca="false">IFERROR(C91/B91-1,"")</f>
        <v>0.162610487089514</v>
      </c>
      <c r="F91" s="47"/>
    </row>
    <row r="92" customFormat="false" ht="15" hidden="false" customHeight="true" outlineLevel="0" collapsed="false">
      <c r="A92" s="75" t="s">
        <v>353</v>
      </c>
      <c r="B92" s="37" t="n">
        <f aca="false">IFERROR(B90/B16,"")</f>
        <v>0.100488693353138</v>
      </c>
      <c r="C92" s="37" t="n">
        <f aca="false">IFERROR(C90/C16,"")</f>
        <v>0.102290758743994</v>
      </c>
      <c r="D92" s="76" t="n">
        <f aca="false">(C92-B92)*10000</f>
        <v>18.020653908562</v>
      </c>
      <c r="E92" s="47"/>
      <c r="F92" s="47"/>
    </row>
    <row r="93" customFormat="false" ht="15" hidden="false" customHeight="true" outlineLevel="0" collapsed="false">
      <c r="A93" s="30"/>
      <c r="B93" s="30"/>
      <c r="C93" s="30"/>
      <c r="D93" s="30"/>
      <c r="E93" s="30"/>
      <c r="F93" s="30"/>
    </row>
    <row r="94" customFormat="false" ht="43.5" hidden="false" customHeight="true" outlineLevel="0" collapsed="false">
      <c r="A94" s="83" t="s">
        <v>354</v>
      </c>
      <c r="B94" s="83"/>
      <c r="C94" s="83"/>
      <c r="D94" s="83"/>
      <c r="E94" s="83"/>
      <c r="F94" s="30"/>
    </row>
    <row r="95" customFormat="false" ht="30" hidden="false" customHeight="true" outlineLevel="0" collapsed="false">
      <c r="A95" s="83" t="s">
        <v>355</v>
      </c>
      <c r="B95" s="83"/>
      <c r="C95" s="83"/>
      <c r="D95" s="83"/>
      <c r="E95" s="83"/>
      <c r="F95" s="30"/>
    </row>
    <row r="96" customFormat="false" ht="15" hidden="false" customHeight="true" outlineLevel="0" collapsed="false">
      <c r="A96" s="30"/>
      <c r="B96" s="30"/>
      <c r="C96" s="30"/>
      <c r="D96" s="30"/>
      <c r="E96" s="30"/>
      <c r="F96" s="30"/>
    </row>
    <row r="97" customFormat="false" ht="15" hidden="false" customHeight="true" outlineLevel="0" collapsed="false">
      <c r="A97" s="18" t="s">
        <v>356</v>
      </c>
      <c r="B97" s="18"/>
      <c r="C97" s="18"/>
      <c r="D97" s="18"/>
      <c r="E97" s="18"/>
      <c r="F97" s="18"/>
    </row>
    <row r="98" customFormat="false" ht="30" hidden="false" customHeight="true" outlineLevel="0" collapsed="false">
      <c r="A98" s="18" t="s">
        <v>315</v>
      </c>
      <c r="B98" s="34" t="s">
        <v>357</v>
      </c>
      <c r="C98" s="34" t="s">
        <v>358</v>
      </c>
      <c r="D98" s="34" t="s">
        <v>359</v>
      </c>
      <c r="E98" s="34" t="s">
        <v>342</v>
      </c>
      <c r="F98" s="34" t="s">
        <v>360</v>
      </c>
    </row>
    <row r="99" customFormat="false" ht="15" hidden="false" customHeight="true" outlineLevel="0" collapsed="false">
      <c r="A99" s="75" t="s">
        <v>138</v>
      </c>
      <c r="B99" s="66" t="n">
        <f aca="false">'2. Budget_FY2025_PL_CF'!C5</f>
        <v>89526.92</v>
      </c>
      <c r="C99" s="66" t="n">
        <f aca="false">'2. Budget_FY2025_PL_CF'!D5</f>
        <v>94094.62</v>
      </c>
      <c r="D99" s="66" t="n">
        <f aca="false">'2. Budget_FY2025_PL_CF'!E5</f>
        <v>96835.24</v>
      </c>
      <c r="E99" s="73" t="n">
        <f aca="false">C16</f>
        <v>89490</v>
      </c>
      <c r="F99" s="88" t="str">
        <f aca="false">IF(E99&lt;MIN(B99,D99),"Below Adverse",IF(E99&gt;MAX(B99,D99),"Above Favorable",IF(E99&lt;C99,"Between Adverse and Base","Between Base and Favorable")))</f>
        <v>Below Adverse</v>
      </c>
    </row>
    <row r="100" customFormat="false" ht="15" hidden="false" customHeight="true" outlineLevel="0" collapsed="false">
      <c r="A100" s="75" t="s">
        <v>322</v>
      </c>
      <c r="B100" s="66" t="n">
        <f aca="false">'2. Budget_FY2025_PL_CF'!C11</f>
        <v>13518.56492</v>
      </c>
      <c r="C100" s="66" t="n">
        <f aca="false">'2. Budget_FY2025_PL_CF'!D11</f>
        <v>15619.70692</v>
      </c>
      <c r="D100" s="66" t="n">
        <f aca="false">'2. Budget_FY2025_PL_CF'!E11</f>
        <v>17527.17844</v>
      </c>
      <c r="E100" s="73" t="n">
        <f aca="false">C22</f>
        <v>14389</v>
      </c>
      <c r="F100" s="88" t="str">
        <f aca="false">IF(E100&lt;MIN(B100,D100),"Below Adverse",IF(E100&gt;MAX(B100,D100),"Above Favorable",IF(E100&lt;C100,"Between Adverse and Base","Between Base and Favorable")))</f>
        <v>Between Adverse and Base</v>
      </c>
    </row>
    <row r="101" customFormat="false" ht="15" hidden="false" customHeight="true" outlineLevel="0" collapsed="false">
      <c r="A101" s="75" t="s">
        <v>160</v>
      </c>
      <c r="B101" s="70" t="n">
        <f aca="false">'2. Budget_FY2025_PL_CF'!C26</f>
        <v>0.151</v>
      </c>
      <c r="C101" s="70" t="n">
        <f aca="false">'2. Budget_FY2025_PL_CF'!D26</f>
        <v>0.166</v>
      </c>
      <c r="D101" s="70" t="n">
        <f aca="false">'2. Budget_FY2025_PL_CF'!E26</f>
        <v>0.181</v>
      </c>
      <c r="E101" s="37" t="n">
        <f aca="false">C37</f>
        <v>0.160788914962566</v>
      </c>
      <c r="F101" s="88" t="str">
        <f aca="false">IF(E101&lt;MIN(B101,D101),"Below Adverse",IF(E101&gt;MAX(B101,D101),"Above Favorable",IF(E101&lt;C101,"Between Adverse and Base","Between Base and Favorable")))</f>
        <v>Between Adverse and Base</v>
      </c>
    </row>
    <row r="102" customFormat="false" ht="15" hidden="false" customHeight="true" outlineLevel="0" collapsed="false">
      <c r="A102" s="75" t="s">
        <v>150</v>
      </c>
      <c r="B102" s="66" t="n">
        <f aca="false">'2. Budget_FY2025_PL_CF'!C15</f>
        <v>11638.4996</v>
      </c>
      <c r="C102" s="66" t="n">
        <f aca="false">'2. Budget_FY2025_PL_CF'!D15</f>
        <v>14114.193</v>
      </c>
      <c r="D102" s="66" t="n">
        <f aca="false">'2. Budget_FY2025_PL_CF'!E15</f>
        <v>16461.9908</v>
      </c>
      <c r="E102" s="73" t="n">
        <f aca="false">C26</f>
        <v>12277</v>
      </c>
      <c r="F102" s="88" t="str">
        <f aca="false">IF(E102&lt;MIN(B102,D102),"Below Adverse",IF(E102&gt;MAX(B102,D102),"Above Favorable",IF(E102&lt;C102,"Between Adverse and Base","Between Base and Favorable")))</f>
        <v>Between Adverse and Base</v>
      </c>
    </row>
    <row r="103" customFormat="false" ht="15" hidden="false" customHeight="true" outlineLevel="0" collapsed="false">
      <c r="A103" s="67" t="s">
        <v>361</v>
      </c>
      <c r="B103" s="68" t="n">
        <f aca="false">'2. Budget_FY2025_PL_CF'!C24</f>
        <v>8349.882561696</v>
      </c>
      <c r="C103" s="68" t="n">
        <f aca="false">'2. Budget_FY2025_PL_CF'!D24</f>
        <v>10607.51908632</v>
      </c>
      <c r="D103" s="68" t="n">
        <f aca="false">'2. Budget_FY2025_PL_CF'!E24</f>
        <v>12870.229340576</v>
      </c>
      <c r="E103" s="48" t="n">
        <f aca="false">C35</f>
        <v>9033</v>
      </c>
      <c r="F103" s="89" t="str">
        <f aca="false">IF(E103&lt;MIN(B103,D103),"Below Adverse",IF(E103&gt;MAX(B103,D103),"Above Favorable",IF(E103&lt;C103,"Between Adverse and Base","Between Base and Favorable")))</f>
        <v>Between Adverse and Base</v>
      </c>
    </row>
    <row r="104" customFormat="false" ht="15" hidden="false" customHeight="true" outlineLevel="0" collapsed="false">
      <c r="A104" s="75" t="s">
        <v>325</v>
      </c>
      <c r="B104" s="84" t="n">
        <f aca="false">'2. Budget_FY2025_PL_CF'!C32</f>
        <v>3.26843956695346</v>
      </c>
      <c r="C104" s="84" t="n">
        <f aca="false">'2. Budget_FY2025_PL_CF'!D32</f>
        <v>4.15215840854895</v>
      </c>
      <c r="D104" s="84" t="n">
        <f aca="false">'2. Budget_FY2025_PL_CF'!E32</f>
        <v>5.0378632874999</v>
      </c>
      <c r="E104" s="86" t="n">
        <f aca="false">C43</f>
        <v>3.51</v>
      </c>
      <c r="F104" s="88" t="str">
        <f aca="false">IF(E104&lt;MIN(B104,D104),"Below Adverse",IF(E104&gt;MAX(B104,D104),"Above Favorable",IF(E104&lt;C104,"Between Adverse and Base","Between Base and Favorable")))</f>
        <v>Between Adverse and Base</v>
      </c>
    </row>
    <row r="105" customFormat="false" ht="15" hidden="false" customHeight="true" outlineLevel="0" collapsed="false">
      <c r="A105" s="75" t="s">
        <v>186</v>
      </c>
      <c r="B105" s="66" t="n">
        <f aca="false">'2. Budget_FY2025_PL_CF'!C47</f>
        <v>12125.396100608</v>
      </c>
      <c r="C105" s="66" t="n">
        <f aca="false">'2. Budget_FY2025_PL_CF'!D47</f>
        <v>15665.69033536</v>
      </c>
      <c r="D105" s="66" t="n">
        <f aca="false">'2. Budget_FY2025_PL_CF'!E47</f>
        <v>19103.600016448</v>
      </c>
      <c r="E105" s="73" t="n">
        <f aca="false">C62</f>
        <v>15904</v>
      </c>
      <c r="F105" s="88" t="str">
        <f aca="false">IF(E105&lt;MIN(B105,D105),"Below Adverse",IF(E105&gt;MAX(B105,D105),"Above Favorable",IF(E105&lt;C105,"Between Adverse and Base","Between Base and Favorable")))</f>
        <v>Between Base and Favorable</v>
      </c>
    </row>
    <row r="106" customFormat="false" ht="15" hidden="false" customHeight="true" outlineLevel="0" collapsed="false">
      <c r="A106" s="67" t="s">
        <v>362</v>
      </c>
      <c r="B106" s="68" t="n">
        <f aca="false">'2. Budget_FY2025_PL_CF'!C75</f>
        <v>5768.984780608</v>
      </c>
      <c r="C106" s="68" t="n">
        <f aca="false">'2. Budget_FY2025_PL_CF'!D75</f>
        <v>9455.44541536</v>
      </c>
      <c r="D106" s="68" t="n">
        <f aca="false">'2. Budget_FY2025_PL_CF'!E75</f>
        <v>13196.650376448</v>
      </c>
      <c r="E106" s="48" t="n">
        <f aca="false">C91</f>
        <v>10993</v>
      </c>
      <c r="F106" s="89" t="str">
        <f aca="false">IF(E106&lt;MIN(B106,D106),"Below Adverse",IF(E106&gt;MAX(B106,D106),"Above Favorable",IF(E106&lt;C106,"Between Adverse and Base","Between Base and Favorable")))</f>
        <v>Between Base and Favorable</v>
      </c>
    </row>
    <row r="107" customFormat="false" ht="30" hidden="false" customHeight="true" outlineLevel="0" collapsed="false">
      <c r="A107" s="83" t="s">
        <v>363</v>
      </c>
      <c r="B107" s="83"/>
      <c r="C107" s="83"/>
      <c r="D107" s="83"/>
      <c r="E107" s="83"/>
      <c r="F107" s="30"/>
    </row>
    <row r="108" customFormat="false" ht="15" hidden="false" customHeight="true" outlineLevel="0" collapsed="false">
      <c r="A108" s="30"/>
      <c r="B108" s="30"/>
      <c r="C108" s="30"/>
      <c r="D108" s="30"/>
      <c r="E108" s="30"/>
      <c r="F108" s="30"/>
    </row>
    <row r="109" customFormat="false" ht="15" hidden="false" customHeight="true" outlineLevel="0" collapsed="false">
      <c r="A109" s="18" t="s">
        <v>364</v>
      </c>
      <c r="B109" s="18"/>
      <c r="C109" s="18"/>
      <c r="D109" s="18"/>
      <c r="E109" s="18"/>
      <c r="F109" s="18"/>
    </row>
    <row r="110" customFormat="false" ht="30" hidden="false" customHeight="true" outlineLevel="0" collapsed="false">
      <c r="A110" s="18" t="s">
        <v>222</v>
      </c>
      <c r="B110" s="34" t="s">
        <v>223</v>
      </c>
      <c r="C110" s="34" t="s">
        <v>224</v>
      </c>
      <c r="D110" s="34" t="s">
        <v>225</v>
      </c>
      <c r="E110" s="34" t="s">
        <v>342</v>
      </c>
      <c r="F110" s="34" t="s">
        <v>365</v>
      </c>
    </row>
    <row r="111" customFormat="false" ht="15" hidden="false" customHeight="true" outlineLevel="0" collapsed="false">
      <c r="A111" s="90" t="str">
        <f aca="false">'2. Assumptions_FY2025'!A5</f>
        <v>Real Internal Growth (RIG) — volume/mix</v>
      </c>
      <c r="B111" s="70" t="n">
        <f aca="false">'2. Assumptions_FY2025'!B5</f>
        <v>0.005</v>
      </c>
      <c r="C111" s="70" t="n">
        <f aca="false">'2. Assumptions_FY2025'!C5</f>
        <v>0.015</v>
      </c>
      <c r="D111" s="70" t="n">
        <f aca="false">'2. Assumptions_FY2025'!D5</f>
        <v>0.025</v>
      </c>
      <c r="E111" s="37" t="n">
        <f aca="false">C6</f>
        <v>0.008</v>
      </c>
      <c r="F111" s="88" t="str">
        <f aca="false">IF(AND(E111&gt;=MIN(B111,D111),E111&lt;=MAX(B111,D111)),"Within scenario range",IF((E111-C111)*(B111-C111)&gt;0,"Worse than Adverse","Better than Favorable"))</f>
        <v>Within scenario range</v>
      </c>
    </row>
    <row r="112" customFormat="false" ht="15" hidden="false" customHeight="true" outlineLevel="0" collapsed="false">
      <c r="A112" s="90" t="str">
        <f aca="false">'2. Assumptions_FY2025'!A9</f>
        <v>Foreign Exchange (FX) Impact</v>
      </c>
      <c r="B112" s="70" t="n">
        <f aca="false">'2. Assumptions_FY2025'!B9</f>
        <v>-0.04</v>
      </c>
      <c r="C112" s="70" t="n">
        <f aca="false">'2. Assumptions_FY2025'!C9</f>
        <v>0</v>
      </c>
      <c r="D112" s="70" t="n">
        <f aca="false">'2. Assumptions_FY2025'!D9</f>
        <v>0.02</v>
      </c>
      <c r="E112" s="37" t="n">
        <f aca="false">C10</f>
        <v>-0.057</v>
      </c>
      <c r="F112" s="88" t="str">
        <f aca="false">IF(AND(E112&gt;=MIN(B112,D112),E112&lt;=MAX(B112,D112)),"Within scenario range",IF((E112-C112)*(B112-C112)&gt;0,"Worse than Adverse","Better than Favorable"))</f>
        <v>Worse than Adverse</v>
      </c>
    </row>
    <row r="113" customFormat="false" ht="15" hidden="false" customHeight="true" outlineLevel="0" collapsed="false">
      <c r="A113" s="90" t="str">
        <f aca="false">'2. Assumptions_FY2025'!A12</f>
        <v>Cost of Goods Sold (% of Sales)</v>
      </c>
      <c r="B113" s="70" t="n">
        <f aca="false">'2. Assumptions_FY2025'!B12</f>
        <v>0.539</v>
      </c>
      <c r="C113" s="70" t="n">
        <f aca="false">'2. Assumptions_FY2025'!C12</f>
        <v>0.529</v>
      </c>
      <c r="D113" s="70" t="n">
        <f aca="false">'2. Assumptions_FY2025'!D12</f>
        <v>0.519</v>
      </c>
      <c r="E113" s="37" t="n">
        <f aca="false">-C18/C16</f>
        <v>0.544127835512348</v>
      </c>
      <c r="F113" s="88" t="str">
        <f aca="false">IF(AND(E113&gt;=MIN(B113,D113),E113&lt;=MAX(B113,D113)),"Within scenario range",IF((E113-C113)*(B113-C113)&gt;0,"Worse than Adverse","Better than Favorable"))</f>
        <v>Worse than Adverse</v>
      </c>
    </row>
    <row r="114" customFormat="false" ht="15" hidden="false" customHeight="true" outlineLevel="0" collapsed="false">
      <c r="A114" s="90" t="str">
        <f aca="false">'2. Assumptions_FY2025'!A14</f>
        <v>Marketing &amp; Administration Expenses (% of Sales)</v>
      </c>
      <c r="B114" s="70" t="n">
        <f aca="false">'2. Assumptions_FY2025'!B14</f>
        <v>0.214</v>
      </c>
      <c r="C114" s="70" t="n">
        <f aca="false">'2. Assumptions_FY2025'!C14</f>
        <v>0.209</v>
      </c>
      <c r="D114" s="70" t="n">
        <f aca="false">'2. Assumptions_FY2025'!D14</f>
        <v>0.204</v>
      </c>
      <c r="E114" s="37" t="n">
        <f aca="false">-C20/C16</f>
        <v>0.199832383506537</v>
      </c>
      <c r="F114" s="88" t="str">
        <f aca="false">IF(AND(E114&gt;=MIN(B114,D114),E114&lt;=MAX(B114,D114)),"Within scenario range",IF((E114-C114)*(B114-C114)&gt;0,"Worse than Adverse","Better than Favorable"))</f>
        <v>Better than Favorable</v>
      </c>
    </row>
    <row r="115" customFormat="false" ht="15" hidden="false" customHeight="true" outlineLevel="0" collapsed="false">
      <c r="A115" s="90" t="str">
        <f aca="false">'2. Assumptions_FY2025'!A17</f>
        <v>Other Trading Items, net (% of Sales)</v>
      </c>
      <c r="B115" s="70" t="n">
        <f aca="false">'2. Assumptions_FY2025'!B17</f>
        <v>-0.019</v>
      </c>
      <c r="C115" s="70" t="n">
        <f aca="false">'2. Assumptions_FY2025'!C17</f>
        <v>-0.014</v>
      </c>
      <c r="D115" s="70" t="n">
        <f aca="false">'2. Assumptions_FY2025'!D17</f>
        <v>-0.009</v>
      </c>
      <c r="E115" s="37" t="n">
        <f aca="false">C23/C16</f>
        <v>-0.0191529779863672</v>
      </c>
      <c r="F115" s="88" t="str">
        <f aca="false">IF(AND(E115&gt;=MIN(B115,D115),E115&lt;=MAX(B115,D115)),"Within scenario range",IF((E115-C115)*(B115-C115)&gt;0,"Worse than Adverse","Better than Favorable"))</f>
        <v>Worse than Adverse</v>
      </c>
    </row>
    <row r="116" customFormat="false" ht="15" hidden="false" customHeight="true" outlineLevel="0" collapsed="false">
      <c r="A116" s="90" t="str">
        <f aca="false">'2. Assumptions_FY2025'!A20</f>
        <v>Net Financial Expense Growth (vs FY2024)</v>
      </c>
      <c r="B116" s="70" t="n">
        <f aca="false">'2. Assumptions_FY2025'!B20</f>
        <v>0.15</v>
      </c>
      <c r="C116" s="70" t="n">
        <f aca="false">'2. Assumptions_FY2025'!C20</f>
        <v>0.05</v>
      </c>
      <c r="D116" s="70" t="n">
        <f aca="false">'2. Assumptions_FY2025'!D20</f>
        <v>-0.05</v>
      </c>
      <c r="E116" s="37" t="n">
        <f aca="false">C29/'1. Income_Statement'!E19-1</f>
        <v>0.0276094276094276</v>
      </c>
      <c r="F116" s="88" t="str">
        <f aca="false">IF(AND(E116&gt;=MIN(B116,D116),E116&lt;=MAX(B116,D116)),"Within scenario range",IF((E116-C116)*(B116-C116)&gt;0,"Worse than Adverse","Better than Favorable"))</f>
        <v>Within scenario range</v>
      </c>
    </row>
    <row r="117" customFormat="false" ht="15" hidden="false" customHeight="true" outlineLevel="0" collapsed="false">
      <c r="A117" s="90" t="str">
        <f aca="false">'2. Assumptions_FY2025'!A21</f>
        <v>Income from Associates &amp; JVs Growth</v>
      </c>
      <c r="B117" s="70" t="n">
        <f aca="false">'2. Assumptions_FY2025'!B21</f>
        <v>-0.02</v>
      </c>
      <c r="C117" s="70" t="n">
        <f aca="false">'2. Assumptions_FY2025'!C21</f>
        <v>0.08</v>
      </c>
      <c r="D117" s="70" t="n">
        <f aca="false">'2. Assumptions_FY2025'!D21</f>
        <v>0.18</v>
      </c>
      <c r="E117" s="37" t="n">
        <f aca="false">C31/'1. Income_Statement'!E21-1</f>
        <v>-0.0848678943154524</v>
      </c>
      <c r="F117" s="88" t="str">
        <f aca="false">IF(AND(E117&gt;=MIN(B117,D117),E117&lt;=MAX(B117,D117)),"Within scenario range",IF((E117-C117)*(B117-C117)&gt;0,"Worse than Adverse","Better than Favorable"))</f>
        <v>Worse than Adverse</v>
      </c>
    </row>
    <row r="118" customFormat="false" ht="15" hidden="false" customHeight="true" outlineLevel="0" collapsed="false">
      <c r="A118" s="90" t="str">
        <f aca="false">'2. Assumptions_FY2025'!A22</f>
        <v>Effective Tax Rate</v>
      </c>
      <c r="B118" s="70" t="n">
        <f aca="false">'2. Assumptions_FY2025'!B22</f>
        <v>0.26</v>
      </c>
      <c r="C118" s="70" t="n">
        <f aca="false">'2. Assumptions_FY2025'!C22</f>
        <v>0.24</v>
      </c>
      <c r="D118" s="70" t="n">
        <f aca="false">'2. Assumptions_FY2025'!D22</f>
        <v>0.22</v>
      </c>
      <c r="E118" s="37" t="n">
        <f aca="false">C41</f>
        <v>0.245558552692773</v>
      </c>
      <c r="F118" s="88" t="str">
        <f aca="false">IF(AND(E118&gt;=MIN(B118,D118),E118&lt;=MAX(B118,D118)),"Within scenario range",IF((E118-C118)*(B118-C118)&gt;0,"Worse than Adverse","Better than Favorable"))</f>
        <v>Within scenario range</v>
      </c>
    </row>
    <row r="119" customFormat="false" ht="15" hidden="false" customHeight="true" outlineLevel="0" collapsed="false">
      <c r="A119" s="90" t="str">
        <f aca="false">'2. Assumptions_FY2025'!A30</f>
        <v>Working Capital &amp; Other Operating Movements (CHF m)</v>
      </c>
      <c r="B119" s="66" t="n">
        <f aca="false">'2. Assumptions_FY2025'!B30</f>
        <v>-1000</v>
      </c>
      <c r="C119" s="66" t="n">
        <f aca="false">'2. Assumptions_FY2025'!C30</f>
        <v>0</v>
      </c>
      <c r="D119" s="66" t="n">
        <f aca="false">'2. Assumptions_FY2025'!D30</f>
        <v>1000</v>
      </c>
      <c r="E119" s="73" t="n">
        <f aca="false">C56</f>
        <v>-319</v>
      </c>
      <c r="F119" s="88" t="str">
        <f aca="false">IF(AND(E119&gt;=MIN(B119,D119),E119&lt;=MAX(B119,D119)),"Within scenario range",IF((E119-C119)*(B119-C119)&gt;0,"Worse than Adverse","Better than Favorable"))</f>
        <v>Within scenario range</v>
      </c>
    </row>
    <row r="120" customFormat="false" ht="15" hidden="false" customHeight="true" outlineLevel="0" collapsed="false">
      <c r="A120" s="90" t="str">
        <f aca="false">'2. Assumptions_FY2025'!A35</f>
        <v>Capital Expenditure (% of Sales)</v>
      </c>
      <c r="B120" s="70" t="n">
        <f aca="false">'2. Assumptions_FY2025'!B35</f>
        <v>0.067</v>
      </c>
      <c r="C120" s="70" t="n">
        <f aca="false">'2. Assumptions_FY2025'!C35</f>
        <v>0.062</v>
      </c>
      <c r="D120" s="70" t="n">
        <f aca="false">'2. Assumptions_FY2025'!D35</f>
        <v>0.057</v>
      </c>
      <c r="E120" s="37" t="n">
        <f aca="false">-C65/C16</f>
        <v>0.0505866577271204</v>
      </c>
      <c r="F120" s="88" t="str">
        <f aca="false">IF(AND(E120&gt;=MIN(B120,D120),E120&lt;=MAX(B120,D120)),"Within scenario range",IF((E120-C120)*(B120-C120)&gt;0,"Worse than Adverse","Better than Favorable"))</f>
        <v>Better than Favorable</v>
      </c>
    </row>
    <row r="121" customFormat="false" ht="15" hidden="false" customHeight="true" outlineLevel="0" collapsed="false">
      <c r="A121" s="77" t="s">
        <v>366</v>
      </c>
      <c r="B121" s="47"/>
      <c r="C121" s="47"/>
      <c r="D121" s="47"/>
      <c r="E121" s="47"/>
      <c r="F121" s="91" t="str">
        <f aca="false">COUNTIF(F111:F120,"&lt;&gt;Within scenario range")&amp;" of 10"</f>
        <v>6 of 10</v>
      </c>
    </row>
    <row r="122" customFormat="false" ht="30" hidden="false" customHeight="true" outlineLevel="0" collapsed="false">
      <c r="A122" s="83" t="s">
        <v>367</v>
      </c>
      <c r="B122" s="83"/>
      <c r="C122" s="83"/>
      <c r="D122" s="83"/>
      <c r="E122" s="83"/>
      <c r="F122" s="30"/>
    </row>
    <row r="123" customFormat="false" ht="15" hidden="false" customHeight="true" outlineLevel="0" collapsed="false">
      <c r="A123" s="30"/>
      <c r="B123" s="30"/>
      <c r="C123" s="30"/>
      <c r="D123" s="30"/>
      <c r="E123" s="30"/>
      <c r="F123" s="30"/>
    </row>
    <row r="124" customFormat="false" ht="15" hidden="false" customHeight="true" outlineLevel="0" collapsed="false">
      <c r="A124" s="18" t="s">
        <v>368</v>
      </c>
      <c r="B124" s="18"/>
      <c r="C124" s="18"/>
      <c r="D124" s="18"/>
      <c r="E124" s="18"/>
      <c r="F124" s="18"/>
    </row>
    <row r="125" customFormat="false" ht="15" hidden="false" customHeight="true" outlineLevel="0" collapsed="false">
      <c r="A125" s="30"/>
      <c r="B125" s="30"/>
      <c r="C125" s="30"/>
      <c r="D125" s="30"/>
      <c r="E125" s="30"/>
      <c r="F125" s="30"/>
    </row>
    <row r="126" customFormat="false" ht="57" hidden="false" customHeight="true" outlineLevel="0" collapsed="false">
      <c r="A126" s="32" t="s">
        <v>369</v>
      </c>
      <c r="B126" s="32"/>
      <c r="C126" s="32"/>
      <c r="D126" s="32"/>
      <c r="E126" s="32"/>
      <c r="F126" s="30"/>
    </row>
    <row r="127" customFormat="false" ht="15" hidden="false" customHeight="true" outlineLevel="0" collapsed="false">
      <c r="A127" s="30"/>
      <c r="B127" s="30"/>
      <c r="C127" s="30"/>
      <c r="D127" s="30"/>
      <c r="E127" s="30"/>
      <c r="F127" s="30"/>
    </row>
    <row r="128" customFormat="false" ht="57" hidden="false" customHeight="true" outlineLevel="0" collapsed="false">
      <c r="A128" s="32" t="s">
        <v>370</v>
      </c>
      <c r="B128" s="32"/>
      <c r="C128" s="32"/>
      <c r="D128" s="32"/>
      <c r="E128" s="32"/>
      <c r="F128" s="30"/>
    </row>
    <row r="129" customFormat="false" ht="15" hidden="false" customHeight="true" outlineLevel="0" collapsed="false">
      <c r="A129" s="30"/>
      <c r="B129" s="30"/>
      <c r="C129" s="30"/>
      <c r="D129" s="30"/>
      <c r="E129" s="30"/>
      <c r="F129" s="30"/>
    </row>
    <row r="130" customFormat="false" ht="30" hidden="false" customHeight="true" outlineLevel="0" collapsed="false">
      <c r="A130" s="32" t="s">
        <v>371</v>
      </c>
      <c r="B130" s="32"/>
      <c r="C130" s="32"/>
      <c r="D130" s="32"/>
      <c r="E130" s="32"/>
      <c r="F130" s="30"/>
    </row>
    <row r="131" customFormat="false" ht="15" hidden="false" customHeight="true" outlineLevel="0" collapsed="false">
      <c r="A131" s="30"/>
      <c r="B131" s="30"/>
      <c r="C131" s="30"/>
      <c r="D131" s="30"/>
      <c r="E131" s="30"/>
      <c r="F131" s="30"/>
    </row>
    <row r="132" customFormat="false" ht="70.5" hidden="false" customHeight="true" outlineLevel="0" collapsed="false">
      <c r="A132" s="32" t="s">
        <v>372</v>
      </c>
      <c r="B132" s="32"/>
      <c r="C132" s="32"/>
      <c r="D132" s="32"/>
      <c r="E132" s="32"/>
      <c r="F132" s="30"/>
    </row>
    <row r="133" customFormat="false" ht="15" hidden="false" customHeight="true" outlineLevel="0" collapsed="false">
      <c r="A133" s="30"/>
      <c r="B133" s="30"/>
      <c r="C133" s="30"/>
      <c r="D133" s="30"/>
      <c r="E133" s="30"/>
      <c r="F133" s="30"/>
    </row>
    <row r="134" customFormat="false" ht="57" hidden="false" customHeight="true" outlineLevel="0" collapsed="false">
      <c r="A134" s="32" t="s">
        <v>373</v>
      </c>
      <c r="B134" s="32"/>
      <c r="C134" s="32"/>
      <c r="D134" s="32"/>
      <c r="E134" s="32"/>
      <c r="F134" s="30"/>
    </row>
    <row r="135" customFormat="false" ht="15" hidden="false" customHeight="true" outlineLevel="0" collapsed="false">
      <c r="A135" s="30"/>
      <c r="B135" s="30"/>
      <c r="C135" s="30"/>
      <c r="D135" s="30"/>
      <c r="E135" s="30"/>
      <c r="F135" s="30"/>
    </row>
    <row r="136" customFormat="false" ht="70.5" hidden="false" customHeight="true" outlineLevel="0" collapsed="false">
      <c r="A136" s="32" t="s">
        <v>374</v>
      </c>
      <c r="B136" s="32"/>
      <c r="C136" s="32"/>
      <c r="D136" s="32"/>
      <c r="E136" s="32"/>
      <c r="F136" s="30"/>
    </row>
    <row r="137" customFormat="false" ht="15" hidden="false" customHeight="true" outlineLevel="0" collapsed="false">
      <c r="A137" s="30"/>
      <c r="B137" s="30"/>
      <c r="C137" s="30"/>
      <c r="D137" s="30"/>
      <c r="E137" s="30"/>
      <c r="F137" s="30"/>
    </row>
    <row r="138" customFormat="false" ht="57" hidden="false" customHeight="true" outlineLevel="0" collapsed="false">
      <c r="A138" s="32" t="s">
        <v>375</v>
      </c>
      <c r="B138" s="32"/>
      <c r="C138" s="32"/>
      <c r="D138" s="32"/>
      <c r="E138" s="32"/>
      <c r="F138" s="30"/>
    </row>
    <row r="139" customFormat="false" ht="15" hidden="false" customHeight="true" outlineLevel="0" collapsed="false">
      <c r="A139" s="30"/>
      <c r="B139" s="30"/>
      <c r="C139" s="30"/>
      <c r="D139" s="30"/>
      <c r="E139" s="30"/>
      <c r="F139" s="30"/>
    </row>
    <row r="140" customFormat="false" ht="15" hidden="false" customHeight="true" outlineLevel="0" collapsed="false">
      <c r="A140" s="87" t="s">
        <v>376</v>
      </c>
      <c r="B140" s="30"/>
      <c r="C140" s="30"/>
      <c r="D140" s="30"/>
      <c r="E140" s="30"/>
      <c r="F140" s="30"/>
    </row>
    <row r="141" customFormat="false" ht="27.75" hidden="false" customHeight="true" outlineLevel="0" collapsed="false">
      <c r="A141" s="92" t="s">
        <v>377</v>
      </c>
      <c r="B141" s="92"/>
      <c r="C141" s="92"/>
      <c r="D141" s="92"/>
      <c r="E141" s="92"/>
      <c r="F141" s="30"/>
    </row>
    <row r="142" customFormat="false" ht="27.75" hidden="false" customHeight="true" outlineLevel="0" collapsed="false">
      <c r="A142" s="92" t="s">
        <v>378</v>
      </c>
      <c r="B142" s="92"/>
      <c r="C142" s="92"/>
      <c r="D142" s="92"/>
      <c r="E142" s="92"/>
      <c r="F142" s="30"/>
    </row>
  </sheetData>
  <mergeCells count="21">
    <mergeCell ref="A3:F3"/>
    <mergeCell ref="A12:E12"/>
    <mergeCell ref="A14:F14"/>
    <mergeCell ref="A45:E45"/>
    <mergeCell ref="A47:F47"/>
    <mergeCell ref="A94:E94"/>
    <mergeCell ref="A95:E95"/>
    <mergeCell ref="A97:F97"/>
    <mergeCell ref="A107:E107"/>
    <mergeCell ref="A109:F109"/>
    <mergeCell ref="A122:E122"/>
    <mergeCell ref="A124:F124"/>
    <mergeCell ref="A126:E126"/>
    <mergeCell ref="A128:E128"/>
    <mergeCell ref="A130:E130"/>
    <mergeCell ref="A132:E132"/>
    <mergeCell ref="A134:E134"/>
    <mergeCell ref="A136:E136"/>
    <mergeCell ref="A138:E138"/>
    <mergeCell ref="A141:E141"/>
    <mergeCell ref="A142:E142"/>
  </mergeCells>
  <conditionalFormatting sqref="F111:F120">
    <cfRule type="cellIs" priority="2" operator="equal" aboveAverage="0" equalAverage="0" bottom="0" percent="0" rank="0" text="" dxfId="0">
      <formula>"Worse than Adverse"</formula>
    </cfRule>
    <cfRule type="cellIs" priority="3" operator="equal" aboveAverage="0" equalAverage="0" bottom="0" percent="0" rank="0" text="" dxfId="1">
      <formula>"Better than Favorable"</formula>
    </cfRule>
  </conditionalFormatting>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5C6B"/>
    <pageSetUpPr fitToPage="true"/>
  </sheetPr>
  <dimension ref="A1:F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2"/>
    <col collapsed="false" customWidth="true" hidden="false" outlineLevel="0" max="6" min="6" style="0" width="92"/>
  </cols>
  <sheetData>
    <row r="1" customFormat="false" ht="17.35" hidden="false" customHeight="false" outlineLevel="0" collapsed="false">
      <c r="A1" s="93" t="s">
        <v>379</v>
      </c>
      <c r="B1" s="94"/>
      <c r="C1" s="94"/>
      <c r="D1" s="94"/>
      <c r="E1" s="94"/>
      <c r="F1" s="94"/>
    </row>
    <row r="2" customFormat="false" ht="15" hidden="false" customHeight="true" outlineLevel="0" collapsed="false">
      <c r="A2" s="44" t="s">
        <v>380</v>
      </c>
      <c r="B2" s="44"/>
      <c r="C2" s="44"/>
      <c r="D2" s="44"/>
      <c r="E2" s="44"/>
      <c r="F2" s="44"/>
    </row>
    <row r="3" customFormat="false" ht="30" hidden="false" customHeight="true" outlineLevel="0" collapsed="false">
      <c r="A3" s="18" t="s">
        <v>222</v>
      </c>
      <c r="B3" s="34" t="s">
        <v>341</v>
      </c>
      <c r="C3" s="34" t="s">
        <v>342</v>
      </c>
      <c r="D3" s="34" t="s">
        <v>381</v>
      </c>
      <c r="E3" s="34" t="s">
        <v>382</v>
      </c>
      <c r="F3" s="34" t="s">
        <v>383</v>
      </c>
    </row>
    <row r="4" customFormat="false" ht="18" hidden="false" customHeight="true" outlineLevel="0" collapsed="false">
      <c r="A4" s="95" t="s">
        <v>227</v>
      </c>
      <c r="B4" s="96"/>
      <c r="C4" s="96"/>
      <c r="D4" s="96"/>
      <c r="E4" s="96"/>
      <c r="F4" s="96"/>
    </row>
    <row r="5" customFormat="false" ht="41.25" hidden="false" customHeight="true" outlineLevel="0" collapsed="false">
      <c r="A5" s="97" t="s">
        <v>344</v>
      </c>
      <c r="B5" s="98" t="n">
        <f aca="false">'2. Assumptions_FY2025'!C5</f>
        <v>0.015</v>
      </c>
      <c r="C5" s="98" t="n">
        <f aca="false">'3. Variance_Analysis'!C6</f>
        <v>0.008</v>
      </c>
      <c r="D5" s="55" t="n">
        <v>0.016</v>
      </c>
      <c r="E5" s="99" t="n">
        <v>0.015</v>
      </c>
      <c r="F5" s="100" t="s">
        <v>384</v>
      </c>
    </row>
    <row r="6" customFormat="false" ht="28.5" hidden="false" customHeight="true" outlineLevel="0" collapsed="false">
      <c r="A6" s="97" t="s">
        <v>230</v>
      </c>
      <c r="B6" s="98" t="n">
        <f aca="false">'2. Assumptions_FY2025'!C6</f>
        <v>0.015</v>
      </c>
      <c r="C6" s="98" t="n">
        <f aca="false">'3. Variance_Analysis'!C7</f>
        <v>0.028</v>
      </c>
      <c r="D6" s="55" t="n">
        <v>0.019</v>
      </c>
      <c r="E6" s="99" t="n">
        <v>0.021</v>
      </c>
      <c r="F6" s="100" t="s">
        <v>385</v>
      </c>
    </row>
    <row r="7" customFormat="false" ht="28.5" hidden="false" customHeight="true" outlineLevel="0" collapsed="false">
      <c r="A7" s="97" t="s">
        <v>232</v>
      </c>
      <c r="B7" s="98" t="n">
        <f aca="false">'2. Assumptions_FY2025'!C7</f>
        <v>0.03</v>
      </c>
      <c r="C7" s="98" t="n">
        <f aca="false">'3. Variance_Analysis'!C8</f>
        <v>0.035</v>
      </c>
      <c r="D7" s="58" t="n">
        <f aca="false">D5+D6</f>
        <v>0.035</v>
      </c>
      <c r="E7" s="99" t="n">
        <v>0.036</v>
      </c>
      <c r="F7" s="100" t="s">
        <v>386</v>
      </c>
    </row>
    <row r="8" customFormat="false" ht="28.5" hidden="false" customHeight="true" outlineLevel="0" collapsed="false">
      <c r="A8" s="97" t="s">
        <v>234</v>
      </c>
      <c r="B8" s="98" t="n">
        <f aca="false">'2. Assumptions_FY2025'!C8</f>
        <v>0</v>
      </c>
      <c r="C8" s="98" t="n">
        <f aca="false">'3. Variance_Analysis'!C9</f>
        <v>0.001</v>
      </c>
      <c r="D8" s="55" t="n">
        <v>0.001</v>
      </c>
      <c r="E8" s="99" t="n">
        <v>0.001</v>
      </c>
      <c r="F8" s="100" t="s">
        <v>387</v>
      </c>
    </row>
    <row r="9" customFormat="false" ht="41.25" hidden="false" customHeight="true" outlineLevel="0" collapsed="false">
      <c r="A9" s="97" t="s">
        <v>236</v>
      </c>
      <c r="B9" s="98" t="n">
        <f aca="false">'2. Assumptions_FY2025'!C9</f>
        <v>0</v>
      </c>
      <c r="C9" s="98" t="n">
        <f aca="false">'3. Variance_Analysis'!C10</f>
        <v>-0.057</v>
      </c>
      <c r="D9" s="98" t="n">
        <f aca="false">'4. Assumptions_FY2026'!D56</f>
        <v>-0.03</v>
      </c>
      <c r="E9" s="99" t="n">
        <v>-0.062</v>
      </c>
      <c r="F9" s="100" t="s">
        <v>388</v>
      </c>
    </row>
    <row r="10" customFormat="false" ht="18" hidden="false" customHeight="true" outlineLevel="0" collapsed="false">
      <c r="A10" s="97" t="s">
        <v>238</v>
      </c>
      <c r="B10" s="98" t="n">
        <f aca="false">'2. Assumptions_FY2025'!C10</f>
        <v>0.03</v>
      </c>
      <c r="C10" s="98" t="n">
        <f aca="false">'3. Variance_Analysis'!C11</f>
        <v>-0.0204041421284235</v>
      </c>
      <c r="D10" s="58" t="n">
        <f aca="false">D7+D8+D9</f>
        <v>0.00600000000000001</v>
      </c>
      <c r="E10" s="99" t="n">
        <v>-0.025</v>
      </c>
      <c r="F10" s="100" t="s">
        <v>389</v>
      </c>
    </row>
    <row r="11" customFormat="false" ht="28.5" hidden="false" customHeight="true" outlineLevel="0" collapsed="false">
      <c r="A11" s="97" t="s">
        <v>240</v>
      </c>
      <c r="B11" s="101" t="n">
        <f aca="false">'2. Assumptions_FY2025'!C11</f>
        <v>0.004</v>
      </c>
      <c r="C11" s="101" t="n">
        <f aca="false">'3. Variance_Analysis'!C17/'3. Variance_Analysis'!C16</f>
        <v>0.00441390099452453</v>
      </c>
      <c r="D11" s="102" t="n">
        <v>0.0045</v>
      </c>
      <c r="E11" s="103" t="n">
        <v>0.0044</v>
      </c>
      <c r="F11" s="100" t="s">
        <v>390</v>
      </c>
    </row>
    <row r="12" customFormat="false" ht="54" hidden="false" customHeight="true" outlineLevel="0" collapsed="false">
      <c r="A12" s="97" t="s">
        <v>242</v>
      </c>
      <c r="B12" s="98" t="n">
        <f aca="false">'2. Assumptions_FY2025'!C12</f>
        <v>0.529</v>
      </c>
      <c r="C12" s="98" t="n">
        <f aca="false">-'3. Variance_Analysis'!C18/'3. Variance_Analysis'!C16</f>
        <v>0.544127835512348</v>
      </c>
      <c r="D12" s="55" t="n">
        <v>0.536</v>
      </c>
      <c r="E12" s="99" t="n">
        <v>0.536</v>
      </c>
      <c r="F12" s="100" t="s">
        <v>391</v>
      </c>
    </row>
    <row r="13" customFormat="false" ht="28.5" hidden="false" customHeight="true" outlineLevel="0" collapsed="false">
      <c r="A13" s="97" t="s">
        <v>244</v>
      </c>
      <c r="B13" s="98" t="n">
        <f aca="false">'2. Assumptions_FY2025'!C13</f>
        <v>0.082</v>
      </c>
      <c r="C13" s="98" t="n">
        <f aca="false">-'3. Variance_Analysis'!C19/'3. Variance_Analysis'!C16</f>
        <v>0.0816404067493575</v>
      </c>
      <c r="D13" s="55" t="n">
        <v>0.084</v>
      </c>
      <c r="E13" s="99" t="n">
        <v>0.084</v>
      </c>
      <c r="F13" s="100" t="s">
        <v>392</v>
      </c>
    </row>
    <row r="14" customFormat="false" ht="28.5" hidden="false" customHeight="true" outlineLevel="0" collapsed="false">
      <c r="A14" s="97" t="s">
        <v>246</v>
      </c>
      <c r="B14" s="98" t="n">
        <f aca="false">'2. Assumptions_FY2025'!C14</f>
        <v>0.209</v>
      </c>
      <c r="C14" s="98" t="n">
        <f aca="false">-'3. Variance_Analysis'!C20/'3. Variance_Analysis'!C16</f>
        <v>0.199832383506537</v>
      </c>
      <c r="D14" s="55" t="n">
        <v>0.201</v>
      </c>
      <c r="E14" s="99" t="n">
        <v>0.202</v>
      </c>
      <c r="F14" s="100" t="s">
        <v>393</v>
      </c>
    </row>
    <row r="15" customFormat="false" ht="18" hidden="false" customHeight="true" outlineLevel="0" collapsed="false">
      <c r="A15" s="97" t="s">
        <v>248</v>
      </c>
      <c r="B15" s="98" t="n">
        <f aca="false">'2. Assumptions_FY2025'!C15</f>
        <v>0.018</v>
      </c>
      <c r="C15" s="98" t="n">
        <f aca="false">-'3. Variance_Analysis'!C21/'3. Variance_Analysis'!C16</f>
        <v>0.0180243602637166</v>
      </c>
      <c r="D15" s="55" t="n">
        <v>0.018</v>
      </c>
      <c r="E15" s="99" t="n">
        <v>0.018</v>
      </c>
      <c r="F15" s="100" t="s">
        <v>394</v>
      </c>
    </row>
    <row r="16" customFormat="false" ht="28.5" hidden="false" customHeight="true" outlineLevel="0" collapsed="false">
      <c r="A16" s="97" t="s">
        <v>250</v>
      </c>
      <c r="B16" s="98" t="n">
        <f aca="false">'2. Assumptions_FY2025'!C16</f>
        <v>0.166</v>
      </c>
      <c r="C16" s="98" t="n">
        <f aca="false">'3. Variance_Analysis'!C37</f>
        <v>0.160788914962566</v>
      </c>
      <c r="D16" s="58" t="n">
        <f aca="false">1+D11-D12-D13-D14-D15</f>
        <v>0.1655</v>
      </c>
      <c r="E16" s="99" t="n">
        <v>0.164</v>
      </c>
      <c r="F16" s="100" t="s">
        <v>395</v>
      </c>
    </row>
    <row r="17" customFormat="false" ht="41.25" hidden="false" customHeight="true" outlineLevel="0" collapsed="false">
      <c r="A17" s="97" t="s">
        <v>252</v>
      </c>
      <c r="B17" s="98" t="n">
        <f aca="false">'2. Assumptions_FY2025'!C17</f>
        <v>-0.014</v>
      </c>
      <c r="C17" s="98" t="n">
        <f aca="false">'3. Variance_Analysis'!C23/'3. Variance_Analysis'!C16</f>
        <v>-0.0191529779863672</v>
      </c>
      <c r="D17" s="55" t="n">
        <v>-0.022</v>
      </c>
      <c r="E17" s="99" t="n">
        <v>-0.019</v>
      </c>
      <c r="F17" s="100" t="s">
        <v>396</v>
      </c>
    </row>
    <row r="18" customFormat="false" ht="41.25" hidden="false" customHeight="true" outlineLevel="0" collapsed="false">
      <c r="A18" s="97" t="s">
        <v>254</v>
      </c>
      <c r="B18" s="98" t="n">
        <f aca="false">'2. Assumptions_FY2025'!C18</f>
        <v>-0.002</v>
      </c>
      <c r="C18" s="98" t="n">
        <f aca="false">'3. Variance_Analysis'!C25/'3. Variance_Analysis'!C16</f>
        <v>-0.00444742429321712</v>
      </c>
      <c r="D18" s="55" t="n">
        <v>-0.015</v>
      </c>
      <c r="E18" s="99" t="n">
        <v>-0.028</v>
      </c>
      <c r="F18" s="100" t="s">
        <v>397</v>
      </c>
    </row>
    <row r="19" customFormat="false" ht="18" hidden="false" customHeight="true" outlineLevel="0" collapsed="false">
      <c r="A19" s="97" t="s">
        <v>398</v>
      </c>
      <c r="B19" s="98" t="n">
        <f aca="false">'2. Assumptions_FY2025'!C19</f>
        <v>0</v>
      </c>
      <c r="C19" s="98" t="n">
        <f aca="false">'3. Variance_Analysis'!C27/'2. Budget_FY2025_PL_CF'!B16-1</f>
        <v>-0.162011173184358</v>
      </c>
      <c r="D19" s="55" t="n">
        <v>0.02</v>
      </c>
      <c r="E19" s="99" t="n">
        <v>0.024</v>
      </c>
      <c r="F19" s="100" t="s">
        <v>399</v>
      </c>
    </row>
    <row r="20" customFormat="false" ht="41.25" hidden="false" customHeight="true" outlineLevel="0" collapsed="false">
      <c r="A20" s="97" t="s">
        <v>400</v>
      </c>
      <c r="B20" s="98" t="n">
        <f aca="false">'2. Assumptions_FY2025'!C20</f>
        <v>0.05</v>
      </c>
      <c r="C20" s="98" t="n">
        <f aca="false">'3. Variance_Analysis'!C29/'2. Budget_FY2025_PL_CF'!B18-1</f>
        <v>0.0276094276094276</v>
      </c>
      <c r="D20" s="55" t="n">
        <v>-0.08</v>
      </c>
      <c r="E20" s="99" t="n">
        <v>-0.094</v>
      </c>
      <c r="F20" s="100" t="s">
        <v>401</v>
      </c>
    </row>
    <row r="21" customFormat="false" ht="28.5" hidden="false" customHeight="true" outlineLevel="0" collapsed="false">
      <c r="A21" s="97" t="s">
        <v>402</v>
      </c>
      <c r="B21" s="98" t="n">
        <f aca="false">'2. Assumptions_FY2025'!C21</f>
        <v>0.08</v>
      </c>
      <c r="C21" s="98" t="n">
        <f aca="false">'3. Variance_Analysis'!C31/'2. Budget_FY2025_PL_CF'!B20-1</f>
        <v>-0.0848678943154524</v>
      </c>
      <c r="D21" s="55" t="n">
        <v>-0.25</v>
      </c>
      <c r="E21" s="99" t="n">
        <v>-0.28</v>
      </c>
      <c r="F21" s="100" t="s">
        <v>403</v>
      </c>
    </row>
    <row r="22" customFormat="false" ht="41.25" hidden="false" customHeight="true" outlineLevel="0" collapsed="false">
      <c r="A22" s="97" t="s">
        <v>262</v>
      </c>
      <c r="B22" s="98" t="n">
        <f aca="false">'2. Assumptions_FY2025'!C22</f>
        <v>0.24</v>
      </c>
      <c r="C22" s="98" t="n">
        <f aca="false">'3. Variance_Analysis'!C41</f>
        <v>0.245558552692773</v>
      </c>
      <c r="D22" s="55" t="n">
        <v>0.265</v>
      </c>
      <c r="E22" s="99" t="n">
        <v>0.287</v>
      </c>
      <c r="F22" s="100" t="s">
        <v>404</v>
      </c>
    </row>
    <row r="23" customFormat="false" ht="28.5" hidden="false" customHeight="true" outlineLevel="0" collapsed="false">
      <c r="A23" s="97" t="s">
        <v>264</v>
      </c>
      <c r="B23" s="98" t="n">
        <f aca="false">'2. Assumptions_FY2025'!C23</f>
        <v>0.026</v>
      </c>
      <c r="C23" s="98" t="n">
        <f aca="false">'3. Variance_Analysis'!C34/'3. Variance_Analysis'!C33</f>
        <v>0.0238815647287659</v>
      </c>
      <c r="D23" s="55" t="n">
        <v>0.03</v>
      </c>
      <c r="E23" s="99" t="n">
        <v>0.034</v>
      </c>
      <c r="F23" s="100" t="s">
        <v>405</v>
      </c>
    </row>
    <row r="24" customFormat="false" ht="18" hidden="false" customHeight="true" outlineLevel="0" collapsed="false">
      <c r="A24" s="97" t="s">
        <v>266</v>
      </c>
      <c r="B24" s="104" t="n">
        <f aca="false">'2. Assumptions_FY2025'!C24</f>
        <v>2554.7</v>
      </c>
      <c r="C24" s="104" t="n">
        <f aca="false">'3. Variance_Analysis'!C35/'3. Variance_Analysis'!C43</f>
        <v>2573.50427350427</v>
      </c>
      <c r="D24" s="60" t="n">
        <v>2572</v>
      </c>
      <c r="E24" s="105" t="n">
        <v>2572</v>
      </c>
      <c r="F24" s="100" t="s">
        <v>406</v>
      </c>
    </row>
    <row r="25" customFormat="false" ht="15" hidden="false" customHeight="false" outlineLevel="0" collapsed="false">
      <c r="A25" s="94"/>
      <c r="B25" s="94"/>
      <c r="C25" s="94"/>
      <c r="D25" s="94"/>
      <c r="E25" s="94"/>
      <c r="F25" s="94"/>
    </row>
    <row r="26" customFormat="false" ht="18" hidden="false" customHeight="true" outlineLevel="0" collapsed="false">
      <c r="A26" s="95" t="s">
        <v>268</v>
      </c>
      <c r="B26" s="96"/>
      <c r="C26" s="96"/>
      <c r="D26" s="96"/>
      <c r="E26" s="96"/>
      <c r="F26" s="96"/>
    </row>
    <row r="27" customFormat="false" ht="18" hidden="false" customHeight="true" outlineLevel="0" collapsed="false">
      <c r="A27" s="97" t="s">
        <v>269</v>
      </c>
      <c r="B27" s="98" t="n">
        <f aca="false">'2. Assumptions_FY2025'!C27</f>
        <v>0.039</v>
      </c>
      <c r="C27" s="98" t="n">
        <f aca="false">'3. Variance_Analysis'!C52/'3. Variance_Analysis'!C16</f>
        <v>0.0405967147167281</v>
      </c>
      <c r="D27" s="55" t="n">
        <v>0.041</v>
      </c>
      <c r="E27" s="99" t="n">
        <v>0.041</v>
      </c>
      <c r="F27" s="100" t="s">
        <v>407</v>
      </c>
    </row>
    <row r="28" customFormat="false" ht="28.5" hidden="false" customHeight="true" outlineLevel="0" collapsed="false">
      <c r="A28" s="97" t="s">
        <v>271</v>
      </c>
      <c r="B28" s="106" t="n">
        <f aca="false">'2. Assumptions_FY2025'!C28</f>
        <v>580</v>
      </c>
      <c r="C28" s="106" t="n">
        <f aca="false">'3. Variance_Analysis'!C53</f>
        <v>923</v>
      </c>
      <c r="D28" s="64" t="n">
        <v>700</v>
      </c>
      <c r="E28" s="107" t="n">
        <v>181</v>
      </c>
      <c r="F28" s="100" t="s">
        <v>408</v>
      </c>
    </row>
    <row r="29" customFormat="false" ht="28.5" hidden="false" customHeight="true" outlineLevel="0" collapsed="false">
      <c r="A29" s="97" t="s">
        <v>273</v>
      </c>
      <c r="B29" s="106" t="n">
        <f aca="false">'2. Assumptions_FY2025'!C29</f>
        <v>0</v>
      </c>
      <c r="C29" s="106" t="n">
        <f aca="false">'3. Variance_Analysis'!C54</f>
        <v>347</v>
      </c>
      <c r="D29" s="64" t="n">
        <v>1250</v>
      </c>
      <c r="E29" s="107" t="n">
        <v>1224</v>
      </c>
      <c r="F29" s="100" t="s">
        <v>409</v>
      </c>
    </row>
    <row r="30" customFormat="false" ht="28.5" hidden="false" customHeight="true" outlineLevel="0" collapsed="false">
      <c r="A30" s="97" t="s">
        <v>275</v>
      </c>
      <c r="B30" s="106" t="n">
        <f aca="false">'2. Assumptions_FY2025'!C30</f>
        <v>0</v>
      </c>
      <c r="C30" s="106" t="n">
        <f aca="false">'3. Variance_Analysis'!C56</f>
        <v>-319</v>
      </c>
      <c r="D30" s="64" t="n">
        <v>400</v>
      </c>
      <c r="E30" s="107" t="n">
        <v>-1840</v>
      </c>
      <c r="F30" s="100" t="s">
        <v>410</v>
      </c>
    </row>
    <row r="31" customFormat="false" ht="18" hidden="false" customHeight="true" outlineLevel="0" collapsed="false">
      <c r="A31" s="97" t="s">
        <v>411</v>
      </c>
      <c r="B31" s="98" t="n">
        <f aca="false">'2. Assumptions_FY2025'!C31</f>
        <v>0.835</v>
      </c>
      <c r="C31" s="98" t="n">
        <f aca="false">'3. Variance_Analysis'!C58/'3. Variance_Analysis'!C28</f>
        <v>0.886089813800657</v>
      </c>
      <c r="D31" s="55" t="n">
        <v>0.9</v>
      </c>
      <c r="E31" s="99" t="n">
        <v>0.958</v>
      </c>
      <c r="F31" s="100" t="s">
        <v>412</v>
      </c>
    </row>
    <row r="32" customFormat="false" ht="18" hidden="false" customHeight="true" outlineLevel="0" collapsed="false">
      <c r="A32" s="97" t="s">
        <v>413</v>
      </c>
      <c r="B32" s="98" t="n">
        <f aca="false">'2. Assumptions_FY2025'!C32</f>
        <v>0.763</v>
      </c>
      <c r="C32" s="98" t="n">
        <f aca="false">'3. Variance_Analysis'!C59/'3. Variance_Analysis'!C27</f>
        <v>0.683333333333333</v>
      </c>
      <c r="D32" s="55" t="n">
        <v>0.66</v>
      </c>
      <c r="E32" s="99" t="n">
        <v>0.644</v>
      </c>
      <c r="F32" s="100" t="s">
        <v>414</v>
      </c>
    </row>
    <row r="33" customFormat="false" ht="28.5" hidden="false" customHeight="true" outlineLevel="0" collapsed="false">
      <c r="A33" s="97" t="s">
        <v>415</v>
      </c>
      <c r="B33" s="98" t="n">
        <f aca="false">'2. Assumptions_FY2025'!C33</f>
        <v>0.727</v>
      </c>
      <c r="C33" s="98" t="n">
        <f aca="false">'3. Variance_Analysis'!C60/'3. Variance_Analysis'!C32</f>
        <v>0.870454545454546</v>
      </c>
      <c r="D33" s="55" t="n">
        <v>0.8</v>
      </c>
      <c r="E33" s="99" t="n">
        <v>0.837</v>
      </c>
      <c r="F33" s="100" t="s">
        <v>416</v>
      </c>
    </row>
    <row r="34" customFormat="false" ht="41.25" hidden="false" customHeight="true" outlineLevel="0" collapsed="false">
      <c r="A34" s="97" t="s">
        <v>417</v>
      </c>
      <c r="B34" s="98" t="n">
        <f aca="false">'2. Assumptions_FY2025'!C34</f>
        <v>0.608</v>
      </c>
      <c r="C34" s="98" t="n">
        <f aca="false">'3. Variance_Analysis'!C61/'3. Variance_Analysis'!C31</f>
        <v>2.40944881889764</v>
      </c>
      <c r="D34" s="55" t="n">
        <v>0.93</v>
      </c>
      <c r="E34" s="99" t="n">
        <v>1.467</v>
      </c>
      <c r="F34" s="100" t="s">
        <v>418</v>
      </c>
    </row>
    <row r="35" customFormat="false" ht="41.25" hidden="false" customHeight="true" outlineLevel="0" collapsed="false">
      <c r="A35" s="97" t="s">
        <v>285</v>
      </c>
      <c r="B35" s="98" t="n">
        <f aca="false">'2. Assumptions_FY2025'!C35</f>
        <v>0.062</v>
      </c>
      <c r="C35" s="98" t="n">
        <f aca="false">-'3. Variance_Analysis'!C65/'3. Variance_Analysis'!C16</f>
        <v>0.0505866577271204</v>
      </c>
      <c r="D35" s="55" t="n">
        <v>0.043</v>
      </c>
      <c r="E35" s="99" t="n">
        <v>0.041</v>
      </c>
      <c r="F35" s="100" t="s">
        <v>419</v>
      </c>
    </row>
    <row r="36" customFormat="false" ht="18" hidden="false" customHeight="true" outlineLevel="0" collapsed="false">
      <c r="A36" s="97" t="s">
        <v>287</v>
      </c>
      <c r="B36" s="98" t="n">
        <f aca="false">'2. Assumptions_FY2025'!C36</f>
        <v>0.004</v>
      </c>
      <c r="C36" s="98" t="n">
        <f aca="false">-'3. Variance_Analysis'!C66/'3. Variance_Analysis'!C16</f>
        <v>0.00429098223265169</v>
      </c>
      <c r="D36" s="55" t="n">
        <v>0.004</v>
      </c>
      <c r="E36" s="99" t="n">
        <v>0.0037</v>
      </c>
      <c r="F36" s="100" t="s">
        <v>420</v>
      </c>
    </row>
    <row r="37" customFormat="false" ht="18" hidden="false" customHeight="true" outlineLevel="0" collapsed="false">
      <c r="A37" s="97" t="s">
        <v>289</v>
      </c>
      <c r="B37" s="106" t="n">
        <f aca="false">'2. Assumptions_FY2025'!C37</f>
        <v>0</v>
      </c>
      <c r="C37" s="106" t="n">
        <f aca="false">'3. Variance_Analysis'!C67</f>
        <v>-156</v>
      </c>
      <c r="D37" s="64" t="n">
        <v>126</v>
      </c>
      <c r="E37" s="107" t="n">
        <v>126</v>
      </c>
      <c r="F37" s="100" t="s">
        <v>421</v>
      </c>
    </row>
    <row r="38" customFormat="false" ht="18" hidden="false" customHeight="true" outlineLevel="0" collapsed="false">
      <c r="A38" s="97" t="s">
        <v>291</v>
      </c>
      <c r="B38" s="98" t="n">
        <f aca="false">'2. Assumptions_FY2025'!C38</f>
        <v>-0.006</v>
      </c>
      <c r="C38" s="98" t="n">
        <f aca="false">'3. Variance_Analysis'!C68/'3. Variance_Analysis'!C16</f>
        <v>0.00232428204268633</v>
      </c>
      <c r="D38" s="55" t="n">
        <v>0.001</v>
      </c>
      <c r="E38" s="99" t="n">
        <v>0.0017</v>
      </c>
      <c r="F38" s="100" t="s">
        <v>422</v>
      </c>
    </row>
    <row r="39" customFormat="false" ht="18" hidden="false" customHeight="true" outlineLevel="0" collapsed="false">
      <c r="A39" s="97" t="s">
        <v>293</v>
      </c>
      <c r="B39" s="106" t="n">
        <f aca="false">'2. Assumptions_FY2025'!C39</f>
        <v>0</v>
      </c>
      <c r="C39" s="106" t="n">
        <f aca="false">'3. Variance_Analysis'!C69</f>
        <v>0</v>
      </c>
      <c r="D39" s="64" t="n">
        <v>0</v>
      </c>
      <c r="E39" s="107" t="n">
        <v>0</v>
      </c>
      <c r="F39" s="100" t="s">
        <v>423</v>
      </c>
    </row>
    <row r="40" customFormat="false" ht="18" hidden="false" customHeight="true" outlineLevel="0" collapsed="false">
      <c r="A40" s="97" t="s">
        <v>295</v>
      </c>
      <c r="B40" s="106" t="n">
        <f aca="false">'2. Assumptions_FY2025'!C40</f>
        <v>0</v>
      </c>
      <c r="C40" s="106" t="n">
        <f aca="false">'3. Variance_Analysis'!C70</f>
        <v>492</v>
      </c>
      <c r="D40" s="64" t="n">
        <v>-782</v>
      </c>
      <c r="E40" s="107" t="n">
        <v>-782</v>
      </c>
      <c r="F40" s="100" t="s">
        <v>424</v>
      </c>
    </row>
    <row r="41" customFormat="false" ht="28.5" hidden="false" customHeight="true" outlineLevel="0" collapsed="false">
      <c r="A41" s="97" t="s">
        <v>425</v>
      </c>
      <c r="B41" s="98" t="n">
        <f aca="false">'2. Assumptions_FY2025'!C41</f>
        <v>0.02</v>
      </c>
      <c r="C41" s="98" t="n">
        <f aca="false">'3. Variance_Analysis'!C74/'2. Budget_FY2025_PL_CF'!B59-1</f>
        <v>0.00422210849539417</v>
      </c>
      <c r="D41" s="55" t="n">
        <f aca="false">7976/7849-1</f>
        <v>0.0161804051471526</v>
      </c>
      <c r="E41" s="99" t="n">
        <v>0.016</v>
      </c>
      <c r="F41" s="100" t="s">
        <v>426</v>
      </c>
    </row>
    <row r="42" customFormat="false" ht="18" hidden="false" customHeight="true" outlineLevel="0" collapsed="false">
      <c r="A42" s="97" t="s">
        <v>299</v>
      </c>
      <c r="B42" s="106" t="n">
        <f aca="false">'2. Assumptions_FY2025'!C42</f>
        <v>-174</v>
      </c>
      <c r="C42" s="106" t="n">
        <f aca="false">'3. Variance_Analysis'!C75</f>
        <v>-172</v>
      </c>
      <c r="D42" s="64" t="n">
        <v>-180</v>
      </c>
      <c r="E42" s="107" t="n">
        <v>-92</v>
      </c>
      <c r="F42" s="100" t="s">
        <v>427</v>
      </c>
    </row>
    <row r="43" customFormat="false" ht="18" hidden="false" customHeight="true" outlineLevel="0" collapsed="false">
      <c r="A43" s="97" t="s">
        <v>301</v>
      </c>
      <c r="B43" s="106" t="n">
        <f aca="false">'2. Assumptions_FY2025'!C43</f>
        <v>0</v>
      </c>
      <c r="C43" s="106" t="n">
        <f aca="false">'3. Variance_Analysis'!C76</f>
        <v>-1190</v>
      </c>
      <c r="D43" s="64" t="n">
        <v>-51</v>
      </c>
      <c r="E43" s="107" t="n">
        <v>-51</v>
      </c>
      <c r="F43" s="100" t="s">
        <v>428</v>
      </c>
    </row>
    <row r="44" customFormat="false" ht="18" hidden="false" customHeight="true" outlineLevel="0" collapsed="false">
      <c r="A44" s="97" t="s">
        <v>303</v>
      </c>
      <c r="B44" s="106" t="n">
        <f aca="false">'2. Assumptions_FY2025'!C44</f>
        <v>0</v>
      </c>
      <c r="C44" s="106" t="n">
        <f aca="false">'3. Variance_Analysis'!C77</f>
        <v>-213</v>
      </c>
      <c r="D44" s="64" t="n">
        <v>-60</v>
      </c>
      <c r="E44" s="107" t="n">
        <v>-49</v>
      </c>
      <c r="F44" s="100" t="s">
        <v>429</v>
      </c>
    </row>
    <row r="45" customFormat="false" ht="28.5" hidden="false" customHeight="true" outlineLevel="0" collapsed="false">
      <c r="A45" s="97" t="s">
        <v>305</v>
      </c>
      <c r="B45" s="106" t="n">
        <f aca="false">'2. Assumptions_FY2025'!C45</f>
        <v>7992</v>
      </c>
      <c r="C45" s="106" t="n">
        <f aca="false">'3. Variance_Analysis'!C78</f>
        <v>2803</v>
      </c>
      <c r="D45" s="64" t="n">
        <v>2500</v>
      </c>
      <c r="E45" s="107" t="n">
        <v>1581</v>
      </c>
      <c r="F45" s="100" t="s">
        <v>430</v>
      </c>
    </row>
    <row r="46" customFormat="false" ht="18" hidden="false" customHeight="true" outlineLevel="0" collapsed="false">
      <c r="A46" s="97" t="s">
        <v>307</v>
      </c>
      <c r="B46" s="106" t="n">
        <f aca="false">'2. Assumptions_FY2025'!C46</f>
        <v>-5055</v>
      </c>
      <c r="C46" s="106" t="n">
        <f aca="false">'3. Variance_Analysis'!C79</f>
        <v>-4408</v>
      </c>
      <c r="D46" s="64" t="n">
        <v>-5500</v>
      </c>
      <c r="E46" s="107" t="n">
        <v>-4125</v>
      </c>
      <c r="F46" s="100" t="s">
        <v>431</v>
      </c>
    </row>
    <row r="47" customFormat="false" ht="18" hidden="false" customHeight="true" outlineLevel="0" collapsed="false">
      <c r="A47" s="97" t="s">
        <v>309</v>
      </c>
      <c r="B47" s="106" t="n">
        <f aca="false">'2. Assumptions_FY2025'!C47</f>
        <v>0</v>
      </c>
      <c r="C47" s="106" t="n">
        <f aca="false">'3. Variance_Analysis'!C80</f>
        <v>-1036</v>
      </c>
      <c r="D47" s="64" t="n">
        <v>0</v>
      </c>
      <c r="E47" s="107" t="n">
        <v>6865</v>
      </c>
      <c r="F47" s="100" t="s">
        <v>432</v>
      </c>
    </row>
    <row r="48" customFormat="false" ht="18" hidden="false" customHeight="true" outlineLevel="0" collapsed="false">
      <c r="A48" s="97" t="s">
        <v>311</v>
      </c>
      <c r="B48" s="106" t="n">
        <f aca="false">'2. Assumptions_FY2025'!C48</f>
        <v>0</v>
      </c>
      <c r="C48" s="106" t="n">
        <f aca="false">'3. Variance_Analysis'!C84</f>
        <v>-435</v>
      </c>
      <c r="D48" s="64" t="n">
        <v>0</v>
      </c>
      <c r="E48" s="107" t="n">
        <v>29</v>
      </c>
      <c r="F48" s="100" t="s">
        <v>433</v>
      </c>
    </row>
    <row r="49" customFormat="false" ht="15" hidden="false" customHeight="false" outlineLevel="0" collapsed="false">
      <c r="A49" s="94"/>
      <c r="B49" s="94"/>
      <c r="C49" s="94"/>
      <c r="D49" s="94"/>
      <c r="E49" s="94"/>
      <c r="F49" s="94"/>
    </row>
    <row r="50" customFormat="false" ht="16.5" hidden="false" customHeight="true" outlineLevel="0" collapsed="false">
      <c r="A50" s="108" t="s">
        <v>434</v>
      </c>
      <c r="B50" s="108"/>
      <c r="C50" s="108"/>
      <c r="D50" s="108"/>
      <c r="E50" s="108"/>
      <c r="F50" s="108"/>
    </row>
    <row r="51" customFormat="false" ht="28.5" hidden="false" customHeight="true" outlineLevel="0" collapsed="false">
      <c r="A51" s="97" t="s">
        <v>435</v>
      </c>
      <c r="B51" s="109"/>
      <c r="C51" s="109"/>
      <c r="D51" s="99" t="n">
        <v>0.03</v>
      </c>
      <c r="E51" s="109"/>
      <c r="F51" s="100" t="s">
        <v>436</v>
      </c>
    </row>
    <row r="52" customFormat="false" ht="18" hidden="false" customHeight="true" outlineLevel="0" collapsed="false">
      <c r="A52" s="97" t="s">
        <v>437</v>
      </c>
      <c r="B52" s="109"/>
      <c r="C52" s="109"/>
      <c r="D52" s="99" t="n">
        <v>0.04</v>
      </c>
      <c r="E52" s="109"/>
      <c r="F52" s="100" t="s">
        <v>438</v>
      </c>
    </row>
    <row r="53" customFormat="false" ht="18" hidden="false" customHeight="true" outlineLevel="0" collapsed="false">
      <c r="A53" s="97" t="s">
        <v>439</v>
      </c>
      <c r="B53" s="109"/>
      <c r="C53" s="109"/>
      <c r="D53" s="107" t="n">
        <v>9000</v>
      </c>
      <c r="E53" s="109"/>
      <c r="F53" s="100" t="s">
        <v>440</v>
      </c>
    </row>
    <row r="54" customFormat="false" ht="28.5" hidden="false" customHeight="true" outlineLevel="0" collapsed="false">
      <c r="A54" s="97" t="s">
        <v>441</v>
      </c>
      <c r="B54" s="109"/>
      <c r="C54" s="109"/>
      <c r="D54" s="99" t="n">
        <v>0.04</v>
      </c>
      <c r="E54" s="109"/>
      <c r="F54" s="100" t="s">
        <v>442</v>
      </c>
    </row>
    <row r="55" customFormat="false" ht="18" hidden="false" customHeight="true" outlineLevel="0" collapsed="false">
      <c r="A55" s="97" t="s">
        <v>443</v>
      </c>
      <c r="B55" s="109"/>
      <c r="C55" s="109"/>
      <c r="D55" s="99" t="n">
        <v>0.05</v>
      </c>
      <c r="E55" s="109"/>
      <c r="F55" s="100" t="s">
        <v>438</v>
      </c>
    </row>
    <row r="56" customFormat="false" ht="28.5" hidden="false" customHeight="true" outlineLevel="0" collapsed="false">
      <c r="A56" s="97" t="s">
        <v>444</v>
      </c>
      <c r="B56" s="109"/>
      <c r="C56" s="109"/>
      <c r="D56" s="99" t="n">
        <v>-0.03</v>
      </c>
      <c r="E56" s="109"/>
      <c r="F56" s="100" t="s">
        <v>445</v>
      </c>
    </row>
    <row r="57" customFormat="false" ht="28.5" hidden="false" customHeight="true" outlineLevel="0" collapsed="false">
      <c r="A57" s="97" t="s">
        <v>446</v>
      </c>
      <c r="B57" s="109"/>
      <c r="C57" s="109"/>
      <c r="D57" s="99" t="n">
        <v>0.164</v>
      </c>
      <c r="E57" s="109"/>
      <c r="F57" s="100" t="s">
        <v>447</v>
      </c>
    </row>
    <row r="58" customFormat="false" ht="28.5" hidden="false" customHeight="true" outlineLevel="0" collapsed="false">
      <c r="A58" s="97" t="s">
        <v>448</v>
      </c>
      <c r="B58" s="109"/>
      <c r="C58" s="109"/>
      <c r="D58" s="99" t="n">
        <v>-0.06</v>
      </c>
      <c r="E58" s="109"/>
      <c r="F58" s="100" t="s">
        <v>449</v>
      </c>
    </row>
    <row r="59" customFormat="false" ht="18" hidden="false" customHeight="true" outlineLevel="0" collapsed="false">
      <c r="A59" s="95" t="s">
        <v>450</v>
      </c>
      <c r="B59" s="96"/>
      <c r="C59" s="96"/>
      <c r="D59" s="96"/>
      <c r="E59" s="96"/>
      <c r="F59" s="96"/>
    </row>
    <row r="60" customFormat="false" ht="16.5" hidden="false" customHeight="true" outlineLevel="0" collapsed="false">
      <c r="A60" s="32" t="s">
        <v>451</v>
      </c>
      <c r="B60" s="32"/>
      <c r="C60" s="32"/>
      <c r="D60" s="32"/>
      <c r="E60" s="32"/>
      <c r="F60" s="32"/>
    </row>
    <row r="61" customFormat="false" ht="16.5" hidden="false" customHeight="true" outlineLevel="0" collapsed="false">
      <c r="A61" s="32" t="s">
        <v>452</v>
      </c>
      <c r="B61" s="32"/>
      <c r="C61" s="32"/>
      <c r="D61" s="32"/>
      <c r="E61" s="32"/>
      <c r="F61" s="32"/>
    </row>
    <row r="62" customFormat="false" ht="16.5" hidden="false" customHeight="true" outlineLevel="0" collapsed="false">
      <c r="A62" s="32" t="s">
        <v>453</v>
      </c>
      <c r="B62" s="32"/>
      <c r="C62" s="32"/>
      <c r="D62" s="32"/>
      <c r="E62" s="32"/>
      <c r="F62" s="32"/>
    </row>
    <row r="63" customFormat="false" ht="16.5" hidden="false" customHeight="true" outlineLevel="0" collapsed="false">
      <c r="A63" s="32" t="s">
        <v>454</v>
      </c>
      <c r="B63" s="32"/>
      <c r="C63" s="32"/>
      <c r="D63" s="32"/>
      <c r="E63" s="32"/>
      <c r="F63" s="32"/>
    </row>
    <row r="64" customFormat="false" ht="16.5" hidden="false" customHeight="true" outlineLevel="0" collapsed="false">
      <c r="A64" s="32" t="s">
        <v>455</v>
      </c>
      <c r="B64" s="32"/>
      <c r="C64" s="32"/>
      <c r="D64" s="32"/>
      <c r="E64" s="32"/>
      <c r="F64" s="32"/>
    </row>
    <row r="65" customFormat="false" ht="15" hidden="false" customHeight="false" outlineLevel="0" collapsed="false">
      <c r="A65" s="94"/>
      <c r="B65" s="94"/>
      <c r="C65" s="94"/>
      <c r="D65" s="94"/>
      <c r="E65" s="94"/>
      <c r="F65" s="94"/>
    </row>
    <row r="66" customFormat="false" ht="15" hidden="false" customHeight="true" outlineLevel="0" collapsed="false">
      <c r="A66" s="44" t="s">
        <v>456</v>
      </c>
      <c r="B66" s="44"/>
      <c r="C66" s="44"/>
      <c r="D66" s="44"/>
      <c r="E66" s="44"/>
      <c r="F66" s="44"/>
    </row>
  </sheetData>
  <mergeCells count="8">
    <mergeCell ref="A2:F2"/>
    <mergeCell ref="A50:F50"/>
    <mergeCell ref="A60:F60"/>
    <mergeCell ref="A61:F61"/>
    <mergeCell ref="A62:F62"/>
    <mergeCell ref="A63:F63"/>
    <mergeCell ref="A64:F64"/>
    <mergeCell ref="A66:F66"/>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5C6B"/>
    <pageSetUpPr fitToPage="true"/>
  </sheetPr>
  <dimension ref="A1:E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6"/>
    <col collapsed="false" customWidth="true" hidden="false" outlineLevel="0" max="5" min="5" style="0" width="62"/>
  </cols>
  <sheetData>
    <row r="1" customFormat="false" ht="17.35" hidden="false" customHeight="false" outlineLevel="0" collapsed="false">
      <c r="A1" s="93" t="s">
        <v>457</v>
      </c>
      <c r="B1" s="94"/>
      <c r="C1" s="94"/>
      <c r="D1" s="94"/>
      <c r="E1" s="94"/>
    </row>
    <row r="2" customFormat="false" ht="15" hidden="false" customHeight="true" outlineLevel="0" collapsed="false">
      <c r="A2" s="44" t="s">
        <v>458</v>
      </c>
      <c r="B2" s="44"/>
      <c r="C2" s="44"/>
      <c r="D2" s="44"/>
      <c r="E2" s="44"/>
    </row>
    <row r="3" customFormat="false" ht="30" hidden="false" customHeight="true" outlineLevel="0" collapsed="false">
      <c r="A3" s="18" t="s">
        <v>315</v>
      </c>
      <c r="B3" s="34" t="s">
        <v>342</v>
      </c>
      <c r="C3" s="34" t="s">
        <v>381</v>
      </c>
      <c r="D3" s="34" t="s">
        <v>459</v>
      </c>
      <c r="E3" s="74"/>
    </row>
    <row r="4" customFormat="false" ht="18" hidden="false" customHeight="true" outlineLevel="0" collapsed="false">
      <c r="A4" s="18" t="s">
        <v>321</v>
      </c>
      <c r="B4" s="65"/>
      <c r="C4" s="65"/>
      <c r="D4" s="65"/>
      <c r="E4" s="74"/>
    </row>
    <row r="5" customFormat="false" ht="15" hidden="false" customHeight="false" outlineLevel="0" collapsed="false">
      <c r="A5" s="110" t="s">
        <v>138</v>
      </c>
      <c r="B5" s="111" t="n">
        <f aca="false">'3. Variance_Analysis'!C16</f>
        <v>89490</v>
      </c>
      <c r="C5" s="111" t="n">
        <f aca="false">B5*(1+'4. Assumptions_FY2026'!D10)</f>
        <v>90026.94</v>
      </c>
      <c r="D5" s="112" t="n">
        <f aca="false">IFERROR(C5/B5-1,"")</f>
        <v>0.00600000000000001</v>
      </c>
      <c r="E5" s="113"/>
    </row>
    <row r="6" customFormat="false" ht="15" hidden="false" customHeight="false" outlineLevel="0" collapsed="false">
      <c r="A6" s="110" t="s">
        <v>139</v>
      </c>
      <c r="B6" s="111" t="n">
        <f aca="false">'3. Variance_Analysis'!C17</f>
        <v>395</v>
      </c>
      <c r="C6" s="111" t="n">
        <f aca="false">C5*'4. Assumptions_FY2026'!D11</f>
        <v>405.12123</v>
      </c>
      <c r="D6" s="112" t="n">
        <f aca="false">IFERROR(C6/B6-1,"")</f>
        <v>0.0256233670886075</v>
      </c>
      <c r="E6" s="113"/>
    </row>
    <row r="7" customFormat="false" ht="15" hidden="false" customHeight="false" outlineLevel="0" collapsed="false">
      <c r="A7" s="110" t="s">
        <v>140</v>
      </c>
      <c r="B7" s="111" t="n">
        <f aca="false">'3. Variance_Analysis'!C18</f>
        <v>-48694</v>
      </c>
      <c r="C7" s="111" t="n">
        <f aca="false">-C5*'4. Assumptions_FY2026'!D12</f>
        <v>-48254.43984</v>
      </c>
      <c r="D7" s="112" t="n">
        <f aca="false">IFERROR(C7/B7-1,"")</f>
        <v>-0.00902698812995428</v>
      </c>
      <c r="E7" s="113"/>
    </row>
    <row r="8" customFormat="false" ht="15" hidden="false" customHeight="false" outlineLevel="0" collapsed="false">
      <c r="A8" s="110" t="s">
        <v>141</v>
      </c>
      <c r="B8" s="111" t="n">
        <f aca="false">'3. Variance_Analysis'!C19</f>
        <v>-7306</v>
      </c>
      <c r="C8" s="111" t="n">
        <f aca="false">-C5*'4. Assumptions_FY2026'!D13</f>
        <v>-7562.26296</v>
      </c>
      <c r="D8" s="112" t="n">
        <f aca="false">IFERROR(C8/B8-1,"")</f>
        <v>0.0350756857377499</v>
      </c>
      <c r="E8" s="113"/>
    </row>
    <row r="9" customFormat="false" ht="15" hidden="false" customHeight="false" outlineLevel="0" collapsed="false">
      <c r="A9" s="110" t="s">
        <v>142</v>
      </c>
      <c r="B9" s="111" t="n">
        <f aca="false">'3. Variance_Analysis'!C20</f>
        <v>-17883</v>
      </c>
      <c r="C9" s="111" t="n">
        <f aca="false">-C5*'4. Assumptions_FY2026'!D14</f>
        <v>-18095.41494</v>
      </c>
      <c r="D9" s="112" t="n">
        <f aca="false">IFERROR(C9/B9-1,"")</f>
        <v>0.0118780372420737</v>
      </c>
      <c r="E9" s="113"/>
    </row>
    <row r="10" customFormat="false" ht="15" hidden="false" customHeight="false" outlineLevel="0" collapsed="false">
      <c r="A10" s="110" t="s">
        <v>143</v>
      </c>
      <c r="B10" s="111" t="n">
        <f aca="false">'3. Variance_Analysis'!C21</f>
        <v>-1613</v>
      </c>
      <c r="C10" s="111" t="n">
        <f aca="false">-C5*'4. Assumptions_FY2026'!D15</f>
        <v>-1620.48492</v>
      </c>
      <c r="D10" s="112" t="n">
        <f aca="false">IFERROR(C10/B10-1,"")</f>
        <v>0.0046403719776813</v>
      </c>
      <c r="E10" s="113"/>
    </row>
    <row r="11" customFormat="false" ht="15" hidden="false" customHeight="false" outlineLevel="0" collapsed="false">
      <c r="A11" s="114" t="s">
        <v>322</v>
      </c>
      <c r="B11" s="115" t="n">
        <f aca="false">'3. Variance_Analysis'!C22</f>
        <v>14389</v>
      </c>
      <c r="C11" s="116" t="n">
        <f aca="false">SUM(C5:C10)</f>
        <v>14899.45857</v>
      </c>
      <c r="D11" s="117" t="n">
        <f aca="false">IFERROR(C11/B11-1,"")</f>
        <v>0.035475611230801</v>
      </c>
      <c r="E11" s="118"/>
    </row>
    <row r="12" customFormat="false" ht="15" hidden="false" customHeight="false" outlineLevel="0" collapsed="false">
      <c r="A12" s="110" t="s">
        <v>323</v>
      </c>
      <c r="B12" s="111" t="n">
        <f aca="false">'3. Variance_Analysis'!C23</f>
        <v>-1714</v>
      </c>
      <c r="C12" s="111" t="n">
        <f aca="false">C5*'4. Assumptions_FY2026'!D17</f>
        <v>-1980.59268</v>
      </c>
      <c r="D12" s="112" t="n">
        <f aca="false">IFERROR(C12/B12-1,"")</f>
        <v>0.155538319719953</v>
      </c>
      <c r="E12" s="113"/>
    </row>
    <row r="13" customFormat="false" ht="15" hidden="false" customHeight="false" outlineLevel="0" collapsed="false">
      <c r="A13" s="114" t="s">
        <v>147</v>
      </c>
      <c r="B13" s="115" t="n">
        <f aca="false">'3. Variance_Analysis'!C24</f>
        <v>12675</v>
      </c>
      <c r="C13" s="116" t="n">
        <f aca="false">C11+C12</f>
        <v>12918.86589</v>
      </c>
      <c r="D13" s="117" t="n">
        <f aca="false">IFERROR(C13/B13-1,"")</f>
        <v>0.0192399124260352</v>
      </c>
      <c r="E13" s="118"/>
    </row>
    <row r="14" customFormat="false" ht="15" hidden="false" customHeight="false" outlineLevel="0" collapsed="false">
      <c r="A14" s="110" t="s">
        <v>324</v>
      </c>
      <c r="B14" s="111" t="n">
        <f aca="false">'3. Variance_Analysis'!C25</f>
        <v>-398</v>
      </c>
      <c r="C14" s="111" t="n">
        <f aca="false">C5*'4. Assumptions_FY2026'!D18</f>
        <v>-1350.4041</v>
      </c>
      <c r="D14" s="112" t="n">
        <f aca="false">IFERROR(C14/B14-1,"")</f>
        <v>2.39297512562814</v>
      </c>
      <c r="E14" s="113"/>
    </row>
    <row r="15" customFormat="false" ht="15" hidden="false" customHeight="false" outlineLevel="0" collapsed="false">
      <c r="A15" s="114" t="s">
        <v>150</v>
      </c>
      <c r="B15" s="115" t="n">
        <f aca="false">'3. Variance_Analysis'!C26</f>
        <v>12277</v>
      </c>
      <c r="C15" s="116" t="n">
        <f aca="false">C13+C14</f>
        <v>11568.46179</v>
      </c>
      <c r="D15" s="117" t="n">
        <f aca="false">IFERROR(C15/B15-1,"")</f>
        <v>-0.0577126504846465</v>
      </c>
      <c r="E15" s="118"/>
    </row>
    <row r="16" customFormat="false" ht="15" hidden="false" customHeight="false" outlineLevel="0" collapsed="false">
      <c r="A16" s="110" t="s">
        <v>151</v>
      </c>
      <c r="B16" s="111" t="n">
        <f aca="false">'3. Variance_Analysis'!C27</f>
        <v>300</v>
      </c>
      <c r="C16" s="111" t="n">
        <f aca="false">B16*(1+'4. Assumptions_FY2026'!D19)</f>
        <v>306</v>
      </c>
      <c r="D16" s="112" t="n">
        <f aca="false">IFERROR(C16/B16-1,"")</f>
        <v>0.02</v>
      </c>
      <c r="E16" s="113"/>
    </row>
    <row r="17" customFormat="false" ht="15" hidden="false" customHeight="false" outlineLevel="0" collapsed="false">
      <c r="A17" s="110" t="s">
        <v>152</v>
      </c>
      <c r="B17" s="111" t="n">
        <f aca="false">'3. Variance_Analysis'!C28</f>
        <v>-1826</v>
      </c>
      <c r="C17" s="111" t="n">
        <f aca="false">(B18*(1+'4. Assumptions_FY2026'!D20))-C16</f>
        <v>-1709.92</v>
      </c>
      <c r="D17" s="112" t="n">
        <f aca="false">IFERROR(C17/B17-1,"")</f>
        <v>-0.0635706462212486</v>
      </c>
      <c r="E17" s="113"/>
    </row>
    <row r="18" customFormat="false" ht="15" hidden="false" customHeight="false" outlineLevel="0" collapsed="false">
      <c r="A18" s="114" t="s">
        <v>153</v>
      </c>
      <c r="B18" s="115" t="n">
        <f aca="false">'3. Variance_Analysis'!C29</f>
        <v>-1526</v>
      </c>
      <c r="C18" s="116" t="n">
        <f aca="false">C16+C17</f>
        <v>-1403.92</v>
      </c>
      <c r="D18" s="117" t="n">
        <f aca="false">IFERROR(C18/B18-1,"")</f>
        <v>-0.08</v>
      </c>
      <c r="E18" s="118"/>
    </row>
    <row r="19" customFormat="false" ht="15" hidden="false" customHeight="false" outlineLevel="0" collapsed="false">
      <c r="A19" s="114" t="s">
        <v>154</v>
      </c>
      <c r="B19" s="115" t="n">
        <f aca="false">'3. Variance_Analysis'!C30</f>
        <v>10751</v>
      </c>
      <c r="C19" s="116" t="n">
        <f aca="false">C15+C18</f>
        <v>10164.54179</v>
      </c>
      <c r="D19" s="117" t="n">
        <f aca="false">IFERROR(C19/B19-1,"")</f>
        <v>-0.0545491777509073</v>
      </c>
      <c r="E19" s="118"/>
    </row>
    <row r="20" customFormat="false" ht="15" hidden="false" customHeight="false" outlineLevel="0" collapsed="false">
      <c r="A20" s="110" t="s">
        <v>155</v>
      </c>
      <c r="B20" s="111" t="n">
        <f aca="false">'3. Variance_Analysis'!C31</f>
        <v>1143</v>
      </c>
      <c r="C20" s="111" t="n">
        <f aca="false">B20*(1+'4. Assumptions_FY2026'!D21)</f>
        <v>857.25</v>
      </c>
      <c r="D20" s="112" t="n">
        <f aca="false">IFERROR(C20/B20-1,"")</f>
        <v>-0.25</v>
      </c>
      <c r="E20" s="113"/>
    </row>
    <row r="21" customFormat="false" ht="15" hidden="false" customHeight="false" outlineLevel="0" collapsed="false">
      <c r="A21" s="110" t="s">
        <v>156</v>
      </c>
      <c r="B21" s="111" t="n">
        <f aca="false">'3. Variance_Analysis'!C32</f>
        <v>-2640</v>
      </c>
      <c r="C21" s="111" t="n">
        <f aca="false">-C19*'4. Assumptions_FY2026'!D22</f>
        <v>-2693.60357435</v>
      </c>
      <c r="D21" s="112" t="n">
        <f aca="false">IFERROR(C21/B21-1,"")</f>
        <v>0.0203043842234845</v>
      </c>
      <c r="E21" s="113"/>
    </row>
    <row r="22" customFormat="false" ht="15" hidden="false" customHeight="false" outlineLevel="0" collapsed="false">
      <c r="A22" s="114" t="s">
        <v>157</v>
      </c>
      <c r="B22" s="115" t="n">
        <f aca="false">'3. Variance_Analysis'!C33</f>
        <v>9254</v>
      </c>
      <c r="C22" s="116" t="n">
        <f aca="false">C19+C20+C21</f>
        <v>8328.18821565</v>
      </c>
      <c r="D22" s="117" t="n">
        <f aca="false">IFERROR(C22/B22-1,"")</f>
        <v>-0.100044497984656</v>
      </c>
      <c r="E22" s="118"/>
    </row>
    <row r="23" customFormat="false" ht="15" hidden="false" customHeight="false" outlineLevel="0" collapsed="false">
      <c r="A23" s="110" t="s">
        <v>158</v>
      </c>
      <c r="B23" s="111" t="n">
        <f aca="false">'3. Variance_Analysis'!C34</f>
        <v>221</v>
      </c>
      <c r="C23" s="111" t="n">
        <f aca="false">C22*'4. Assumptions_FY2026'!D23</f>
        <v>249.8456464695</v>
      </c>
      <c r="D23" s="112" t="n">
        <f aca="false">IFERROR(C23/B23-1,"")</f>
        <v>0.130523287192307</v>
      </c>
      <c r="E23" s="113"/>
    </row>
    <row r="24" customFormat="false" ht="15" hidden="false" customHeight="false" outlineLevel="0" collapsed="false">
      <c r="A24" s="114" t="s">
        <v>159</v>
      </c>
      <c r="B24" s="115" t="n">
        <f aca="false">'3. Variance_Analysis'!C35</f>
        <v>9033</v>
      </c>
      <c r="C24" s="116" t="n">
        <f aca="false">C22-C23</f>
        <v>8078.3425691805</v>
      </c>
      <c r="D24" s="117" t="n">
        <f aca="false">IFERROR(C24/B24-1,"")</f>
        <v>-0.105685534243275</v>
      </c>
      <c r="E24" s="118"/>
    </row>
    <row r="25" customFormat="false" ht="15" hidden="false" customHeight="false" outlineLevel="0" collapsed="false">
      <c r="A25" s="94"/>
      <c r="B25" s="94"/>
      <c r="C25" s="94"/>
      <c r="D25" s="94"/>
      <c r="E25" s="94"/>
    </row>
    <row r="26" customFormat="false" ht="15" hidden="false" customHeight="false" outlineLevel="0" collapsed="false">
      <c r="A26" s="110" t="s">
        <v>160</v>
      </c>
      <c r="B26" s="112" t="n">
        <f aca="false">IFERROR(B11/B5,"")</f>
        <v>0.160788914962566</v>
      </c>
      <c r="C26" s="112" t="n">
        <f aca="false">IFERROR(C11/C5,"")</f>
        <v>0.1655</v>
      </c>
      <c r="D26" s="119" t="n">
        <f aca="false">IFERROR((C26-B26)*10000,"")</f>
        <v>47.1108503743431</v>
      </c>
      <c r="E26" s="113"/>
    </row>
    <row r="27" customFormat="false" ht="15" hidden="false" customHeight="false" outlineLevel="0" collapsed="false">
      <c r="A27" s="110" t="s">
        <v>161</v>
      </c>
      <c r="B27" s="112" t="n">
        <f aca="false">IFERROR(B13/B5,"")</f>
        <v>0.141635936976198</v>
      </c>
      <c r="C27" s="112" t="n">
        <f aca="false">IFERROR(C13/C5,"")</f>
        <v>0.1435</v>
      </c>
      <c r="D27" s="119" t="n">
        <f aca="false">IFERROR((C27-B27)*10000,"")</f>
        <v>18.6406302380149</v>
      </c>
      <c r="E27" s="113"/>
    </row>
    <row r="28" customFormat="false" ht="15" hidden="false" customHeight="false" outlineLevel="0" collapsed="false">
      <c r="A28" s="110" t="s">
        <v>162</v>
      </c>
      <c r="B28" s="112" t="n">
        <f aca="false">IFERROR(B15/B5,"")</f>
        <v>0.137188512682981</v>
      </c>
      <c r="C28" s="112" t="n">
        <f aca="false">IFERROR(C15/C5,"")</f>
        <v>0.1285</v>
      </c>
      <c r="D28" s="119" t="n">
        <f aca="false">IFERROR((C28-B28)*10000,"")</f>
        <v>-86.885126829814</v>
      </c>
      <c r="E28" s="113"/>
    </row>
    <row r="29" customFormat="false" ht="15" hidden="false" customHeight="false" outlineLevel="0" collapsed="false">
      <c r="A29" s="110" t="s">
        <v>163</v>
      </c>
      <c r="B29" s="112" t="n">
        <f aca="false">IFERROR(B24/B5,"")</f>
        <v>0.100938652363393</v>
      </c>
      <c r="C29" s="112" t="n">
        <f aca="false">IFERROR(C24/C5,"")</f>
        <v>0.089732501950866</v>
      </c>
      <c r="D29" s="119" t="n">
        <f aca="false">IFERROR((C29-B29)*10000,"")</f>
        <v>-112.061504125266</v>
      </c>
      <c r="E29" s="113"/>
    </row>
    <row r="30" customFormat="false" ht="15" hidden="false" customHeight="false" outlineLevel="0" collapsed="false">
      <c r="A30" s="110" t="s">
        <v>262</v>
      </c>
      <c r="B30" s="112" t="n">
        <f aca="false">IFERROR(-B21/B19,"")</f>
        <v>0.245558552692773</v>
      </c>
      <c r="C30" s="112" t="n">
        <f aca="false">IFERROR(-C21/C19,"")</f>
        <v>0.265</v>
      </c>
      <c r="D30" s="119" t="n">
        <f aca="false">IFERROR((C30-B30)*10000,"")</f>
        <v>194.414473072272</v>
      </c>
      <c r="E30" s="113"/>
    </row>
    <row r="31" customFormat="false" ht="15" hidden="false" customHeight="false" outlineLevel="0" collapsed="false">
      <c r="A31" s="94"/>
      <c r="B31" s="94"/>
      <c r="C31" s="94"/>
      <c r="D31" s="94"/>
      <c r="E31" s="94"/>
    </row>
    <row r="32" customFormat="false" ht="15" hidden="false" customHeight="false" outlineLevel="0" collapsed="false">
      <c r="A32" s="110" t="s">
        <v>325</v>
      </c>
      <c r="B32" s="120" t="n">
        <f aca="false">'3. Variance_Analysis'!C43</f>
        <v>3.51</v>
      </c>
      <c r="C32" s="120" t="n">
        <f aca="false">IFERROR(C24/'4. Assumptions_FY2026'!D24,"")</f>
        <v>3.14087969252741</v>
      </c>
      <c r="D32" s="112" t="n">
        <f aca="false">IFERROR(C32/B32-1,"")</f>
        <v>-0.105162480761422</v>
      </c>
      <c r="E32" s="113"/>
    </row>
    <row r="33" customFormat="false" ht="15" hidden="false" customHeight="false" outlineLevel="0" collapsed="false">
      <c r="A33" s="94"/>
      <c r="B33" s="94"/>
      <c r="C33" s="94"/>
      <c r="D33" s="94"/>
      <c r="E33" s="94"/>
    </row>
    <row r="34" customFormat="false" ht="18" hidden="false" customHeight="true" outlineLevel="0" collapsed="false">
      <c r="A34" s="18" t="s">
        <v>326</v>
      </c>
      <c r="B34" s="65"/>
      <c r="C34" s="65"/>
      <c r="D34" s="65"/>
      <c r="E34" s="74"/>
    </row>
    <row r="35" customFormat="false" ht="15" hidden="false" customHeight="false" outlineLevel="0" collapsed="false">
      <c r="A35" s="121" t="s">
        <v>172</v>
      </c>
      <c r="B35" s="94"/>
      <c r="C35" s="94"/>
      <c r="D35" s="94"/>
      <c r="E35" s="94"/>
    </row>
    <row r="36" customFormat="false" ht="15" hidden="false" customHeight="false" outlineLevel="0" collapsed="false">
      <c r="A36" s="110" t="s">
        <v>327</v>
      </c>
      <c r="B36" s="111" t="n">
        <f aca="false">'3. Variance_Analysis'!C51</f>
        <v>12277</v>
      </c>
      <c r="C36" s="122" t="n">
        <f aca="false">C15</f>
        <v>11568.46179</v>
      </c>
      <c r="D36" s="112" t="n">
        <f aca="false">IFERROR(C36/B36-1,"")</f>
        <v>-0.0577126504846465</v>
      </c>
      <c r="E36" s="113"/>
    </row>
    <row r="37" customFormat="false" ht="15" hidden="false" customHeight="false" outlineLevel="0" collapsed="false">
      <c r="A37" s="110" t="s">
        <v>174</v>
      </c>
      <c r="B37" s="111" t="n">
        <f aca="false">'3. Variance_Analysis'!C52</f>
        <v>3633</v>
      </c>
      <c r="C37" s="111" t="n">
        <f aca="false">C5*'4. Assumptions_FY2026'!D27</f>
        <v>3691.10454</v>
      </c>
      <c r="D37" s="112" t="n">
        <f aca="false">IFERROR(C37/B37-1,"")</f>
        <v>0.0159935425268374</v>
      </c>
      <c r="E37" s="113"/>
    </row>
    <row r="38" customFormat="false" ht="15" hidden="false" customHeight="false" outlineLevel="0" collapsed="false">
      <c r="A38" s="110" t="s">
        <v>175</v>
      </c>
      <c r="B38" s="111" t="n">
        <f aca="false">'3. Variance_Analysis'!C53</f>
        <v>923</v>
      </c>
      <c r="C38" s="111" t="n">
        <f aca="false">'4. Assumptions_FY2026'!D28</f>
        <v>700</v>
      </c>
      <c r="D38" s="112" t="n">
        <f aca="false">IFERROR(C38/B38-1,"")</f>
        <v>-0.24160346695558</v>
      </c>
      <c r="E38" s="113"/>
    </row>
    <row r="39" customFormat="false" ht="15" hidden="false" customHeight="false" outlineLevel="0" collapsed="false">
      <c r="A39" s="110" t="s">
        <v>328</v>
      </c>
      <c r="B39" s="111" t="n">
        <f aca="false">'3. Variance_Analysis'!C54</f>
        <v>347</v>
      </c>
      <c r="C39" s="111" t="n">
        <f aca="false">'4. Assumptions_FY2026'!D29</f>
        <v>1250</v>
      </c>
      <c r="D39" s="112" t="n">
        <f aca="false">IFERROR(C39/B39-1,"")</f>
        <v>2.60230547550432</v>
      </c>
      <c r="E39" s="113"/>
    </row>
    <row r="40" customFormat="false" ht="15" hidden="false" customHeight="false" outlineLevel="0" collapsed="false">
      <c r="A40" s="114" t="s">
        <v>178</v>
      </c>
      <c r="B40" s="115" t="n">
        <f aca="false">'3. Variance_Analysis'!C55</f>
        <v>17180</v>
      </c>
      <c r="C40" s="116" t="n">
        <f aca="false">SUM(C36:C39)</f>
        <v>17209.56633</v>
      </c>
      <c r="D40" s="117" t="n">
        <f aca="false">IFERROR(C40/B40-1,"")</f>
        <v>0.00172097380675162</v>
      </c>
      <c r="E40" s="118"/>
    </row>
    <row r="41" customFormat="false" ht="15" hidden="false" customHeight="false" outlineLevel="0" collapsed="false">
      <c r="A41" s="110" t="s">
        <v>329</v>
      </c>
      <c r="B41" s="111" t="n">
        <f aca="false">'3. Variance_Analysis'!C56</f>
        <v>-319</v>
      </c>
      <c r="C41" s="111" t="n">
        <f aca="false">'4. Assumptions_FY2026'!D30</f>
        <v>400</v>
      </c>
      <c r="D41" s="112" t="n">
        <f aca="false">IFERROR(C41/B41-1,"")</f>
        <v>-2.25391849529781</v>
      </c>
      <c r="E41" s="113"/>
    </row>
    <row r="42" customFormat="false" ht="15" hidden="false" customHeight="false" outlineLevel="0" collapsed="false">
      <c r="A42" s="114" t="s">
        <v>181</v>
      </c>
      <c r="B42" s="115" t="n">
        <f aca="false">'3. Variance_Analysis'!C57</f>
        <v>16861</v>
      </c>
      <c r="C42" s="116" t="n">
        <f aca="false">C40+C41</f>
        <v>17609.56633</v>
      </c>
      <c r="D42" s="117" t="n">
        <f aca="false">IFERROR(C42/B42-1,"")</f>
        <v>0.0443963187236816</v>
      </c>
      <c r="E42" s="118"/>
    </row>
    <row r="43" customFormat="false" ht="15" hidden="false" customHeight="false" outlineLevel="0" collapsed="false">
      <c r="A43" s="110" t="s">
        <v>182</v>
      </c>
      <c r="B43" s="111" t="n">
        <f aca="false">'3. Variance_Analysis'!C58</f>
        <v>-1618</v>
      </c>
      <c r="C43" s="111" t="n">
        <f aca="false">C17*'4. Assumptions_FY2026'!D31</f>
        <v>-1538.928</v>
      </c>
      <c r="D43" s="112" t="n">
        <f aca="false">IFERROR(C43/B43-1,"")</f>
        <v>-0.0488702101359703</v>
      </c>
      <c r="E43" s="113"/>
    </row>
    <row r="44" customFormat="false" ht="15" hidden="false" customHeight="false" outlineLevel="0" collapsed="false">
      <c r="A44" s="110" t="s">
        <v>183</v>
      </c>
      <c r="B44" s="111" t="n">
        <f aca="false">'3. Variance_Analysis'!C59</f>
        <v>205</v>
      </c>
      <c r="C44" s="111" t="n">
        <f aca="false">C16*'4. Assumptions_FY2026'!D32</f>
        <v>201.96</v>
      </c>
      <c r="D44" s="112" t="n">
        <f aca="false">IFERROR(C44/B44-1,"")</f>
        <v>-0.0148292682926829</v>
      </c>
      <c r="E44" s="113"/>
    </row>
    <row r="45" customFormat="false" ht="15" hidden="false" customHeight="false" outlineLevel="0" collapsed="false">
      <c r="A45" s="110" t="s">
        <v>184</v>
      </c>
      <c r="B45" s="111" t="n">
        <f aca="false">'3. Variance_Analysis'!C60</f>
        <v>-2298</v>
      </c>
      <c r="C45" s="111" t="n">
        <f aca="false">C21*'4. Assumptions_FY2026'!D33</f>
        <v>-2154.88285948</v>
      </c>
      <c r="D45" s="112" t="n">
        <f aca="false">IFERROR(C45/B45-1,"")</f>
        <v>-0.062278999355962</v>
      </c>
      <c r="E45" s="113"/>
    </row>
    <row r="46" customFormat="false" ht="15" hidden="false" customHeight="false" outlineLevel="0" collapsed="false">
      <c r="A46" s="110" t="s">
        <v>185</v>
      </c>
      <c r="B46" s="111" t="n">
        <f aca="false">'3. Variance_Analysis'!C61</f>
        <v>2754</v>
      </c>
      <c r="C46" s="111" t="n">
        <f aca="false">C20*'4. Assumptions_FY2026'!D34</f>
        <v>797.2425</v>
      </c>
      <c r="D46" s="112" t="n">
        <f aca="false">IFERROR(C46/B46-1,"")</f>
        <v>-0.710514705882353</v>
      </c>
      <c r="E46" s="113"/>
    </row>
    <row r="47" customFormat="false" ht="15" hidden="false" customHeight="false" outlineLevel="0" collapsed="false">
      <c r="A47" s="114" t="s">
        <v>186</v>
      </c>
      <c r="B47" s="115" t="n">
        <f aca="false">'3. Variance_Analysis'!C62</f>
        <v>15904</v>
      </c>
      <c r="C47" s="116" t="n">
        <f aca="false">C42+C43+C44+C45+C46</f>
        <v>14914.95797052</v>
      </c>
      <c r="D47" s="117" t="n">
        <f aca="false">IFERROR(C47/B47-1,"")</f>
        <v>-0.0621882563807851</v>
      </c>
      <c r="E47" s="118"/>
    </row>
    <row r="48" customFormat="false" ht="15" hidden="false" customHeight="false" outlineLevel="0" collapsed="false">
      <c r="A48" s="94"/>
      <c r="B48" s="94"/>
      <c r="C48" s="94"/>
      <c r="D48" s="94"/>
      <c r="E48" s="94"/>
    </row>
    <row r="49" customFormat="false" ht="15" hidden="false" customHeight="false" outlineLevel="0" collapsed="false">
      <c r="A49" s="121" t="s">
        <v>187</v>
      </c>
      <c r="B49" s="94"/>
      <c r="C49" s="94"/>
      <c r="D49" s="94"/>
      <c r="E49" s="94"/>
    </row>
    <row r="50" customFormat="false" ht="15" hidden="false" customHeight="false" outlineLevel="0" collapsed="false">
      <c r="A50" s="110" t="s">
        <v>188</v>
      </c>
      <c r="B50" s="111" t="n">
        <f aca="false">'3. Variance_Analysis'!C65</f>
        <v>-4527</v>
      </c>
      <c r="C50" s="111" t="n">
        <f aca="false">-C5*'4. Assumptions_FY2026'!D35</f>
        <v>-3871.15842</v>
      </c>
      <c r="D50" s="112" t="n">
        <f aca="false">IFERROR(C50/B50-1,"")</f>
        <v>-0.144873333333333</v>
      </c>
      <c r="E50" s="113"/>
    </row>
    <row r="51" customFormat="false" ht="15" hidden="false" customHeight="false" outlineLevel="0" collapsed="false">
      <c r="A51" s="110" t="s">
        <v>189</v>
      </c>
      <c r="B51" s="111" t="n">
        <f aca="false">'3. Variance_Analysis'!C66</f>
        <v>-384</v>
      </c>
      <c r="C51" s="111" t="n">
        <f aca="false">-C5*'4. Assumptions_FY2026'!D36</f>
        <v>-360.10776</v>
      </c>
      <c r="D51" s="112" t="n">
        <f aca="false">IFERROR(C51/B51-1,"")</f>
        <v>-0.0622193749999999</v>
      </c>
      <c r="E51" s="113"/>
    </row>
    <row r="52" customFormat="false" ht="15" hidden="false" customHeight="false" outlineLevel="0" collapsed="false">
      <c r="A52" s="110" t="s">
        <v>330</v>
      </c>
      <c r="B52" s="111" t="n">
        <f aca="false">'3. Variance_Analysis'!C67</f>
        <v>-156</v>
      </c>
      <c r="C52" s="111" t="n">
        <f aca="false">'4. Assumptions_FY2026'!D37</f>
        <v>126</v>
      </c>
      <c r="D52" s="112" t="n">
        <f aca="false">IFERROR(C52/B52-1,"")</f>
        <v>-1.80769230769231</v>
      </c>
      <c r="E52" s="113"/>
    </row>
    <row r="53" customFormat="false" ht="15" hidden="false" customHeight="false" outlineLevel="0" collapsed="false">
      <c r="A53" s="110" t="s">
        <v>192</v>
      </c>
      <c r="B53" s="111" t="n">
        <f aca="false">'3. Variance_Analysis'!C68</f>
        <v>208</v>
      </c>
      <c r="C53" s="111" t="n">
        <f aca="false">C5*'4. Assumptions_FY2026'!D38</f>
        <v>90.02694</v>
      </c>
      <c r="D53" s="112" t="n">
        <f aca="false">IFERROR(C53/B53-1,"")</f>
        <v>-0.567178173076923</v>
      </c>
      <c r="E53" s="113"/>
    </row>
    <row r="54" customFormat="false" ht="15" hidden="false" customHeight="false" outlineLevel="0" collapsed="false">
      <c r="A54" s="110" t="s">
        <v>193</v>
      </c>
      <c r="B54" s="111" t="n">
        <f aca="false">'3. Variance_Analysis'!C69</f>
        <v>0</v>
      </c>
      <c r="C54" s="111" t="n">
        <f aca="false">'4. Assumptions_FY2026'!D39</f>
        <v>0</v>
      </c>
      <c r="D54" s="112" t="str">
        <f aca="false">IFERROR(C54/B54-1,"")</f>
        <v/>
      </c>
      <c r="E54" s="113"/>
    </row>
    <row r="55" customFormat="false" ht="15" hidden="false" customHeight="false" outlineLevel="0" collapsed="false">
      <c r="A55" s="110" t="s">
        <v>331</v>
      </c>
      <c r="B55" s="111" t="n">
        <f aca="false">'3. Variance_Analysis'!C70</f>
        <v>492</v>
      </c>
      <c r="C55" s="111" t="n">
        <f aca="false">'4. Assumptions_FY2026'!D40</f>
        <v>-782</v>
      </c>
      <c r="D55" s="112" t="n">
        <f aca="false">IFERROR(C55/B55-1,"")</f>
        <v>-2.58943089430894</v>
      </c>
      <c r="E55" s="113"/>
    </row>
    <row r="56" customFormat="false" ht="15" hidden="false" customHeight="false" outlineLevel="0" collapsed="false">
      <c r="A56" s="114" t="s">
        <v>196</v>
      </c>
      <c r="B56" s="115" t="n">
        <f aca="false">'3. Variance_Analysis'!C71</f>
        <v>-4367</v>
      </c>
      <c r="C56" s="116" t="n">
        <f aca="false">SUM(C50:C55)</f>
        <v>-4797.23924</v>
      </c>
      <c r="D56" s="117" t="n">
        <f aca="false">IFERROR(C56/B56-1,"")</f>
        <v>0.0985205495763681</v>
      </c>
      <c r="E56" s="118"/>
    </row>
    <row r="57" customFormat="false" ht="15" hidden="false" customHeight="false" outlineLevel="0" collapsed="false">
      <c r="A57" s="94"/>
      <c r="B57" s="94"/>
      <c r="C57" s="94"/>
      <c r="D57" s="94"/>
      <c r="E57" s="94"/>
    </row>
    <row r="58" customFormat="false" ht="15" hidden="false" customHeight="false" outlineLevel="0" collapsed="false">
      <c r="A58" s="121" t="s">
        <v>197</v>
      </c>
      <c r="B58" s="94"/>
      <c r="C58" s="94"/>
      <c r="D58" s="94"/>
      <c r="E58" s="94"/>
    </row>
    <row r="59" customFormat="false" ht="15" hidden="false" customHeight="false" outlineLevel="0" collapsed="false">
      <c r="A59" s="110" t="s">
        <v>198</v>
      </c>
      <c r="B59" s="111" t="n">
        <f aca="false">'3. Variance_Analysis'!C74</f>
        <v>-7849</v>
      </c>
      <c r="C59" s="111" t="n">
        <f aca="false">B59*(1+'4. Assumptions_FY2026'!D41)</f>
        <v>-7976</v>
      </c>
      <c r="D59" s="112" t="n">
        <f aca="false">IFERROR(C59/B59-1,"")</f>
        <v>0.0161804051471526</v>
      </c>
      <c r="E59" s="113"/>
    </row>
    <row r="60" customFormat="false" ht="15" hidden="false" customHeight="false" outlineLevel="0" collapsed="false">
      <c r="A60" s="110" t="s">
        <v>199</v>
      </c>
      <c r="B60" s="111" t="n">
        <f aca="false">'3. Variance_Analysis'!C75</f>
        <v>-172</v>
      </c>
      <c r="C60" s="111" t="n">
        <f aca="false">'4. Assumptions_FY2026'!D42</f>
        <v>-180</v>
      </c>
      <c r="D60" s="112" t="n">
        <f aca="false">IFERROR(C60/B60-1,"")</f>
        <v>0.0465116279069768</v>
      </c>
      <c r="E60" s="113"/>
    </row>
    <row r="61" customFormat="false" ht="15" hidden="false" customHeight="false" outlineLevel="0" collapsed="false">
      <c r="A61" s="110" t="s">
        <v>200</v>
      </c>
      <c r="B61" s="111" t="n">
        <f aca="false">'3. Variance_Analysis'!C76</f>
        <v>-1190</v>
      </c>
      <c r="C61" s="111" t="n">
        <f aca="false">'4. Assumptions_FY2026'!D43</f>
        <v>-51</v>
      </c>
      <c r="D61" s="112" t="n">
        <f aca="false">IFERROR(C61/B61-1,"")</f>
        <v>-0.957142857142857</v>
      </c>
      <c r="E61" s="113"/>
    </row>
    <row r="62" customFormat="false" ht="15" hidden="false" customHeight="false" outlineLevel="0" collapsed="false">
      <c r="A62" s="110" t="s">
        <v>201</v>
      </c>
      <c r="B62" s="111" t="n">
        <f aca="false">'3. Variance_Analysis'!C77</f>
        <v>-213</v>
      </c>
      <c r="C62" s="111" t="n">
        <f aca="false">'4. Assumptions_FY2026'!D44</f>
        <v>-60</v>
      </c>
      <c r="D62" s="112" t="n">
        <f aca="false">IFERROR(C62/B62-1,"")</f>
        <v>-0.71830985915493</v>
      </c>
      <c r="E62" s="113"/>
    </row>
    <row r="63" customFormat="false" ht="15" hidden="false" customHeight="false" outlineLevel="0" collapsed="false">
      <c r="A63" s="110" t="s">
        <v>202</v>
      </c>
      <c r="B63" s="111" t="n">
        <f aca="false">'3. Variance_Analysis'!C78</f>
        <v>2803</v>
      </c>
      <c r="C63" s="111" t="n">
        <f aca="false">'4. Assumptions_FY2026'!D45</f>
        <v>2500</v>
      </c>
      <c r="D63" s="112" t="n">
        <f aca="false">IFERROR(C63/B63-1,"")</f>
        <v>-0.108098465929361</v>
      </c>
      <c r="E63" s="113"/>
    </row>
    <row r="64" customFormat="false" ht="15" hidden="false" customHeight="false" outlineLevel="0" collapsed="false">
      <c r="A64" s="110" t="s">
        <v>203</v>
      </c>
      <c r="B64" s="111" t="n">
        <f aca="false">'3. Variance_Analysis'!C79</f>
        <v>-4408</v>
      </c>
      <c r="C64" s="111" t="n">
        <f aca="false">'4. Assumptions_FY2026'!D46</f>
        <v>-5500</v>
      </c>
      <c r="D64" s="112" t="n">
        <f aca="false">IFERROR(C64/B64-1,"")</f>
        <v>0.247731397459165</v>
      </c>
      <c r="E64" s="113"/>
    </row>
    <row r="65" customFormat="false" ht="15" hidden="false" customHeight="false" outlineLevel="0" collapsed="false">
      <c r="A65" s="110" t="s">
        <v>204</v>
      </c>
      <c r="B65" s="111" t="n">
        <f aca="false">'3. Variance_Analysis'!C80</f>
        <v>-1036</v>
      </c>
      <c r="C65" s="111" t="n">
        <f aca="false">'4. Assumptions_FY2026'!D47</f>
        <v>0</v>
      </c>
      <c r="D65" s="112" t="n">
        <f aca="false">IFERROR(C65/B65-1,"")</f>
        <v>-1</v>
      </c>
      <c r="E65" s="113"/>
    </row>
    <row r="66" customFormat="false" ht="15" hidden="false" customHeight="false" outlineLevel="0" collapsed="false">
      <c r="A66" s="114" t="s">
        <v>205</v>
      </c>
      <c r="B66" s="115" t="n">
        <f aca="false">'3. Variance_Analysis'!C81</f>
        <v>-12065</v>
      </c>
      <c r="C66" s="116" t="n">
        <f aca="false">SUM(C59:C65)</f>
        <v>-11267</v>
      </c>
      <c r="D66" s="117" t="n">
        <f aca="false">IFERROR(C66/B66-1,"")</f>
        <v>-0.0661417322834645</v>
      </c>
      <c r="E66" s="118"/>
    </row>
    <row r="67" customFormat="false" ht="15" hidden="false" customHeight="false" outlineLevel="0" collapsed="false">
      <c r="A67" s="94"/>
      <c r="B67" s="94"/>
      <c r="C67" s="94"/>
      <c r="D67" s="94"/>
      <c r="E67" s="94"/>
    </row>
    <row r="68" customFormat="false" ht="15" hidden="false" customHeight="false" outlineLevel="0" collapsed="false">
      <c r="A68" s="121" t="s">
        <v>206</v>
      </c>
      <c r="B68" s="94"/>
      <c r="C68" s="94"/>
      <c r="D68" s="94"/>
      <c r="E68" s="94"/>
    </row>
    <row r="69" customFormat="false" ht="15" hidden="false" customHeight="false" outlineLevel="0" collapsed="false">
      <c r="A69" s="110" t="s">
        <v>207</v>
      </c>
      <c r="B69" s="111" t="n">
        <f aca="false">'3. Variance_Analysis'!C84</f>
        <v>-435</v>
      </c>
      <c r="C69" s="111" t="n">
        <f aca="false">'4. Assumptions_FY2026'!D48</f>
        <v>0</v>
      </c>
      <c r="D69" s="112" t="n">
        <f aca="false">IFERROR(C69/B69-1,"")</f>
        <v>-1</v>
      </c>
      <c r="E69" s="113"/>
    </row>
    <row r="70" customFormat="false" ht="15" hidden="false" customHeight="false" outlineLevel="0" collapsed="false">
      <c r="A70" s="114" t="s">
        <v>208</v>
      </c>
      <c r="B70" s="115" t="n">
        <f aca="false">'3. Variance_Analysis'!C85</f>
        <v>-963</v>
      </c>
      <c r="C70" s="116" t="n">
        <f aca="false">C47+C56+C66+C69</f>
        <v>-1149.28126948001</v>
      </c>
      <c r="D70" s="117" t="n">
        <f aca="false">IFERROR(C70/B70-1,"")</f>
        <v>0.193438493748707</v>
      </c>
      <c r="E70" s="118"/>
    </row>
    <row r="71" customFormat="false" ht="15" hidden="false" customHeight="false" outlineLevel="0" collapsed="false">
      <c r="A71" s="110" t="s">
        <v>209</v>
      </c>
      <c r="B71" s="111" t="n">
        <f aca="false">'3. Variance_Analysis'!C86</f>
        <v>5558</v>
      </c>
      <c r="C71" s="122" t="n">
        <f aca="false">B72</f>
        <v>4595</v>
      </c>
      <c r="D71" s="112" t="n">
        <f aca="false">IFERROR(C71/B71-1,"")</f>
        <v>-0.173263763943865</v>
      </c>
      <c r="E71" s="113"/>
    </row>
    <row r="72" customFormat="false" ht="15" hidden="false" customHeight="false" outlineLevel="0" collapsed="false">
      <c r="A72" s="114" t="s">
        <v>210</v>
      </c>
      <c r="B72" s="115" t="n">
        <f aca="false">'3. Variance_Analysis'!C87</f>
        <v>4595</v>
      </c>
      <c r="C72" s="116" t="n">
        <f aca="false">C70+C71</f>
        <v>3445.71873052</v>
      </c>
      <c r="D72" s="117" t="n">
        <f aca="false">IFERROR(C72/B72-1,"")</f>
        <v>-0.250115619038086</v>
      </c>
      <c r="E72" s="118"/>
    </row>
    <row r="73" customFormat="false" ht="15" hidden="false" customHeight="false" outlineLevel="0" collapsed="false">
      <c r="A73" s="94"/>
      <c r="B73" s="94"/>
      <c r="C73" s="94"/>
      <c r="D73" s="94"/>
      <c r="E73" s="94"/>
    </row>
    <row r="74" customFormat="false" ht="15" hidden="false" customHeight="false" outlineLevel="0" collapsed="false">
      <c r="A74" s="121" t="s">
        <v>213</v>
      </c>
      <c r="B74" s="94"/>
      <c r="C74" s="94"/>
      <c r="D74" s="94"/>
      <c r="E74" s="94"/>
    </row>
    <row r="75" customFormat="false" ht="15" hidden="false" customHeight="false" outlineLevel="0" collapsed="false">
      <c r="A75" s="110" t="s">
        <v>215</v>
      </c>
      <c r="B75" s="111" t="n">
        <f aca="false">'3. Variance_Analysis'!C91</f>
        <v>10993</v>
      </c>
      <c r="C75" s="122" t="n">
        <f aca="false">C47+C50+C51</f>
        <v>10683.69179052</v>
      </c>
      <c r="D75" s="112" t="n">
        <f aca="false">IFERROR(C75/B75-1,"")</f>
        <v>-0.0281368333921592</v>
      </c>
      <c r="E75" s="113"/>
    </row>
    <row r="76" customFormat="false" ht="15" hidden="false" customHeight="false" outlineLevel="0" collapsed="false">
      <c r="A76" s="110" t="s">
        <v>332</v>
      </c>
      <c r="B76" s="112" t="n">
        <f aca="false">IFERROR(B75/B5,"")</f>
        <v>0.122840540842552</v>
      </c>
      <c r="C76" s="112" t="n">
        <f aca="false">IFERROR(C75/C5,"")</f>
        <v>0.118672164026901</v>
      </c>
      <c r="D76" s="119" t="n">
        <f aca="false">IFERROR((C76-B76)*10000,"")</f>
        <v>-41.6837681565103</v>
      </c>
      <c r="E76" s="113"/>
    </row>
    <row r="77" customFormat="false" ht="15" hidden="false" customHeight="false" outlineLevel="0" collapsed="false">
      <c r="A77" s="110" t="s">
        <v>214</v>
      </c>
      <c r="B77" s="111" t="n">
        <f aca="false">'3. Variance_Analysis'!C90</f>
        <v>9154</v>
      </c>
      <c r="C77" s="113"/>
      <c r="D77" s="113"/>
      <c r="E77" s="113"/>
    </row>
    <row r="78" customFormat="false" ht="15" hidden="false" customHeight="false" outlineLevel="0" collapsed="false">
      <c r="A78" s="94"/>
      <c r="B78" s="94"/>
      <c r="C78" s="94"/>
      <c r="D78" s="94"/>
      <c r="E78" s="94"/>
    </row>
    <row r="79" customFormat="false" ht="16.5" hidden="false" customHeight="true" outlineLevel="0" collapsed="false">
      <c r="A79" s="123" t="s">
        <v>460</v>
      </c>
      <c r="B79" s="123"/>
      <c r="C79" s="123"/>
      <c r="D79" s="123"/>
      <c r="E79" s="123"/>
    </row>
    <row r="80" customFormat="false" ht="15" hidden="false" customHeight="false" outlineLevel="0" collapsed="false">
      <c r="A80" s="124" t="s">
        <v>461</v>
      </c>
      <c r="B80" s="125" t="s">
        <v>342</v>
      </c>
      <c r="C80" s="125" t="s">
        <v>381</v>
      </c>
      <c r="D80" s="125" t="s">
        <v>462</v>
      </c>
      <c r="E80" s="124" t="s">
        <v>463</v>
      </c>
    </row>
    <row r="81" customFormat="false" ht="15" hidden="false" customHeight="false" outlineLevel="0" collapsed="false">
      <c r="A81" s="110" t="s">
        <v>464</v>
      </c>
      <c r="B81" s="126" t="n">
        <f aca="false">'3. Variance_Analysis'!C8</f>
        <v>0.035</v>
      </c>
      <c r="C81" s="126" t="n">
        <f aca="false">'4. Assumptions_FY2026'!D7</f>
        <v>0.035</v>
      </c>
      <c r="D81" s="127" t="str">
        <f aca="false">IF(AND(C81&gt;='4. Assumptions_FY2026'!D51,C81&lt;='4. Assumptions_FY2026'!D52),"Within range","Outside range")</f>
        <v>Within range</v>
      </c>
      <c r="E81" s="110" t="s">
        <v>465</v>
      </c>
    </row>
    <row r="82" customFormat="false" ht="15" hidden="false" customHeight="false" outlineLevel="0" collapsed="false">
      <c r="A82" s="110" t="s">
        <v>466</v>
      </c>
      <c r="B82" s="126" t="n">
        <f aca="false">'3. Variance_Analysis'!C6</f>
        <v>0.008</v>
      </c>
      <c r="C82" s="126" t="n">
        <f aca="false">'4. Assumptions_FY2026'!D5</f>
        <v>0.016</v>
      </c>
      <c r="D82" s="127" t="str">
        <f aca="false">IF(C82&gt;B82,"Accelerating","Not accelerating")</f>
        <v>Accelerating</v>
      </c>
      <c r="E82" s="110" t="s">
        <v>467</v>
      </c>
    </row>
    <row r="83" customFormat="false" ht="15" hidden="false" customHeight="false" outlineLevel="0" collapsed="false">
      <c r="A83" s="110" t="s">
        <v>468</v>
      </c>
      <c r="B83" s="126" t="n">
        <f aca="false">'3. Variance_Analysis'!C10</f>
        <v>-0.057</v>
      </c>
      <c r="C83" s="126" t="n">
        <f aca="false">'4. Assumptions_FY2026'!D9</f>
        <v>-0.03</v>
      </c>
      <c r="D83" s="127" t="str">
        <f aca="false">IF(ABS(C83-'4. Assumptions_FY2026'!D56)&lt;=0.005,"In line","Differs")</f>
        <v>In line</v>
      </c>
      <c r="E83" s="110" t="s">
        <v>469</v>
      </c>
    </row>
    <row r="84" customFormat="false" ht="15" hidden="false" customHeight="false" outlineLevel="0" collapsed="false">
      <c r="A84" s="110" t="s">
        <v>470</v>
      </c>
      <c r="B84" s="112" t="n">
        <f aca="false">B26</f>
        <v>0.160788914962566</v>
      </c>
      <c r="C84" s="112" t="n">
        <f aca="false">C26</f>
        <v>0.1655</v>
      </c>
      <c r="D84" s="127" t="str">
        <f aca="false">IF(C84&gt;B84,"Improves","Does not improve")</f>
        <v>Improves</v>
      </c>
      <c r="E84" s="110" t="s">
        <v>471</v>
      </c>
    </row>
    <row r="85" customFormat="false" ht="15" hidden="false" customHeight="false" outlineLevel="0" collapsed="false">
      <c r="A85" s="110" t="s">
        <v>472</v>
      </c>
      <c r="B85" s="126" t="n">
        <f aca="false">'4. Assumptions_FY2026'!D57</f>
        <v>0.164</v>
      </c>
      <c r="C85" s="119" t="n">
        <f aca="false">(C26-B85)*10000</f>
        <v>14.9999999999995</v>
      </c>
      <c r="D85" s="127" t="str">
        <f aca="false">IF(ABS(C85)&lt;=30,"Broadly similar","Differs")</f>
        <v>Broadly similar</v>
      </c>
      <c r="E85" s="110" t="s">
        <v>473</v>
      </c>
    </row>
    <row r="86" customFormat="false" ht="15" hidden="false" customHeight="false" outlineLevel="0" collapsed="false">
      <c r="A86" s="110" t="s">
        <v>474</v>
      </c>
      <c r="B86" s="122" t="n">
        <f aca="false">B77</f>
        <v>9154</v>
      </c>
      <c r="C86" s="122" t="n">
        <f aca="false">C75</f>
        <v>10683.69179052</v>
      </c>
      <c r="D86" s="127" t="str">
        <f aca="false">IF(C86&gt;'4. Assumptions_FY2026'!D53,"Above","Below")</f>
        <v>Above</v>
      </c>
      <c r="E86" s="110" t="s">
        <v>475</v>
      </c>
    </row>
    <row r="87" customFormat="false" ht="15" hidden="false" customHeight="false" outlineLevel="0" collapsed="false">
      <c r="A87" s="110" t="s">
        <v>476</v>
      </c>
      <c r="B87" s="126" t="n">
        <f aca="false">-'3. Variance_Analysis'!C65/'3. Variance_Analysis'!C16</f>
        <v>0.0505866577271204</v>
      </c>
      <c r="C87" s="126" t="n">
        <f aca="false">'4. Assumptions_FY2026'!D35</f>
        <v>0.043</v>
      </c>
      <c r="D87" s="127" t="str">
        <f aca="false">IF(AND(C87&gt;='4. Assumptions_FY2026'!D54,C87&lt;='4. Assumptions_FY2026'!D55),"Within range","Outside range")</f>
        <v>Within range</v>
      </c>
      <c r="E87" s="110" t="s">
        <v>477</v>
      </c>
    </row>
    <row r="88" customFormat="false" ht="27.75" hidden="false" customHeight="true" outlineLevel="0" collapsed="false">
      <c r="A88" s="128" t="s">
        <v>478</v>
      </c>
      <c r="B88" s="128"/>
      <c r="C88" s="128"/>
      <c r="D88" s="128"/>
      <c r="E88" s="128"/>
    </row>
    <row r="89" customFormat="false" ht="27.75" hidden="false" customHeight="true" outlineLevel="0" collapsed="false">
      <c r="A89" s="128" t="s">
        <v>479</v>
      </c>
      <c r="B89" s="128"/>
      <c r="C89" s="128"/>
      <c r="D89" s="128"/>
      <c r="E89" s="128"/>
    </row>
    <row r="90" customFormat="false" ht="15" hidden="false" customHeight="true" outlineLevel="0" collapsed="false">
      <c r="A90" s="128" t="s">
        <v>480</v>
      </c>
      <c r="B90" s="128"/>
      <c r="C90" s="128"/>
      <c r="D90" s="128"/>
      <c r="E90" s="128"/>
    </row>
  </sheetData>
  <mergeCells count="5">
    <mergeCell ref="A2:E2"/>
    <mergeCell ref="A79:E79"/>
    <mergeCell ref="A88:E88"/>
    <mergeCell ref="A89:E89"/>
    <mergeCell ref="A90:E90"/>
  </mergeCells>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5C6B"/>
    <pageSetUpPr fitToPage="tru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2" min="2" style="0" width="11.5"/>
  </cols>
  <sheetData>
    <row r="1" customFormat="false" ht="17.35" hidden="false" customHeight="false" outlineLevel="0" collapsed="false">
      <c r="A1" s="93" t="s">
        <v>481</v>
      </c>
      <c r="B1" s="94"/>
      <c r="C1" s="94"/>
      <c r="D1" s="94"/>
      <c r="E1" s="94"/>
      <c r="F1" s="94"/>
      <c r="G1" s="94"/>
      <c r="H1" s="94"/>
      <c r="I1" s="94"/>
    </row>
    <row r="2" customFormat="false" ht="27.75" hidden="false" customHeight="true" outlineLevel="0" collapsed="false">
      <c r="A2" s="44" t="s">
        <v>482</v>
      </c>
      <c r="B2" s="44"/>
      <c r="C2" s="44"/>
      <c r="D2" s="44"/>
      <c r="E2" s="44"/>
      <c r="F2" s="44"/>
      <c r="G2" s="44"/>
      <c r="H2" s="44"/>
      <c r="I2" s="44"/>
    </row>
    <row r="3" customFormat="false" ht="15" hidden="false" customHeight="false" outlineLevel="0" collapsed="false">
      <c r="A3" s="94"/>
      <c r="B3" s="94"/>
      <c r="C3" s="94"/>
      <c r="D3" s="94"/>
      <c r="E3" s="94"/>
      <c r="F3" s="94"/>
      <c r="G3" s="94"/>
      <c r="H3" s="94"/>
      <c r="I3" s="94"/>
    </row>
    <row r="4" customFormat="false" ht="18" hidden="false" customHeight="true" outlineLevel="0" collapsed="false">
      <c r="A4" s="95" t="s">
        <v>483</v>
      </c>
      <c r="B4" s="96"/>
      <c r="C4" s="96"/>
      <c r="D4" s="96"/>
      <c r="E4" s="96"/>
      <c r="F4" s="96"/>
      <c r="G4" s="96"/>
      <c r="H4" s="96"/>
      <c r="I4" s="96"/>
      <c r="J4" s="129"/>
      <c r="K4" s="129"/>
      <c r="L4" s="129"/>
    </row>
    <row r="5" customFormat="false" ht="30" hidden="false" customHeight="true" outlineLevel="0" collapsed="false">
      <c r="A5" s="130" t="s">
        <v>222</v>
      </c>
      <c r="B5" s="131" t="s">
        <v>484</v>
      </c>
      <c r="C5" s="131" t="s">
        <v>342</v>
      </c>
      <c r="D5" s="131" t="s">
        <v>485</v>
      </c>
      <c r="E5" s="131" t="s">
        <v>486</v>
      </c>
      <c r="F5" s="130" t="s">
        <v>487</v>
      </c>
      <c r="G5" s="130"/>
      <c r="H5" s="130"/>
      <c r="I5" s="130"/>
      <c r="J5" s="130"/>
      <c r="K5" s="130"/>
      <c r="L5" s="130"/>
    </row>
    <row r="6" customFormat="false" ht="39.75" hidden="false" customHeight="true" outlineLevel="0" collapsed="false">
      <c r="A6" s="132" t="s">
        <v>468</v>
      </c>
      <c r="B6" s="133" t="n">
        <f aca="false">'2. Assumptions_FY2025'!C9</f>
        <v>0</v>
      </c>
      <c r="C6" s="133" t="n">
        <f aca="false">'3. Variance_Analysis'!C10</f>
        <v>-0.057</v>
      </c>
      <c r="D6" s="134" t="n">
        <f aca="false">(C6-B6)*10000</f>
        <v>-570</v>
      </c>
      <c r="E6" s="133" t="n">
        <f aca="false">'4. Assumptions_FY2026'!D9</f>
        <v>-0.03</v>
      </c>
      <c r="F6" s="97" t="s">
        <v>488</v>
      </c>
      <c r="G6" s="97"/>
      <c r="H6" s="97"/>
      <c r="I6" s="97"/>
      <c r="J6" s="97"/>
      <c r="K6" s="97"/>
      <c r="L6" s="97"/>
    </row>
    <row r="7" customFormat="false" ht="39.75" hidden="false" customHeight="true" outlineLevel="0" collapsed="false">
      <c r="A7" s="132" t="s">
        <v>489</v>
      </c>
      <c r="B7" s="133" t="n">
        <f aca="false">'2. Assumptions_FY2025'!C12</f>
        <v>0.529</v>
      </c>
      <c r="C7" s="133" t="n">
        <f aca="false">-'3. Variance_Analysis'!C18/'3. Variance_Analysis'!C16</f>
        <v>0.544127835512348</v>
      </c>
      <c r="D7" s="134" t="n">
        <f aca="false">(C7-B7)*10000</f>
        <v>151.278355123478</v>
      </c>
      <c r="E7" s="133" t="n">
        <f aca="false">'4. Assumptions_FY2026'!D12</f>
        <v>0.536</v>
      </c>
      <c r="F7" s="97" t="s">
        <v>490</v>
      </c>
      <c r="G7" s="97"/>
      <c r="H7" s="97"/>
      <c r="I7" s="97"/>
      <c r="J7" s="97"/>
      <c r="K7" s="97"/>
      <c r="L7" s="97"/>
    </row>
    <row r="8" customFormat="false" ht="15" hidden="false" customHeight="false" outlineLevel="0" collapsed="false">
      <c r="A8" s="94"/>
      <c r="B8" s="94"/>
      <c r="C8" s="94"/>
      <c r="D8" s="94"/>
      <c r="E8" s="94"/>
      <c r="F8" s="94"/>
      <c r="G8" s="94"/>
      <c r="H8" s="94"/>
      <c r="I8" s="94"/>
    </row>
    <row r="9" customFormat="false" ht="18" hidden="false" customHeight="true" outlineLevel="0" collapsed="false">
      <c r="A9" s="95" t="s">
        <v>491</v>
      </c>
      <c r="B9" s="96"/>
      <c r="C9" s="96"/>
      <c r="D9" s="96"/>
      <c r="E9" s="96"/>
      <c r="F9" s="96"/>
      <c r="G9" s="96"/>
      <c r="H9" s="96"/>
      <c r="I9" s="96"/>
      <c r="J9" s="129"/>
      <c r="K9" s="129"/>
      <c r="L9" s="129"/>
    </row>
    <row r="10" customFormat="false" ht="15" hidden="false" customHeight="false" outlineLevel="0" collapsed="false">
      <c r="A10" s="124" t="s">
        <v>468</v>
      </c>
      <c r="B10" s="135" t="n">
        <f aca="false">'4. Assumptions_FY2026'!$D$9-0.04</f>
        <v>-0.07</v>
      </c>
      <c r="C10" s="135" t="n">
        <f aca="false">'4. Assumptions_FY2026'!$D$9-0.03</f>
        <v>-0.06</v>
      </c>
      <c r="D10" s="135" t="n">
        <f aca="false">'4. Assumptions_FY2026'!$D$9-0.02</f>
        <v>-0.05</v>
      </c>
      <c r="E10" s="135" t="n">
        <f aca="false">'4. Assumptions_FY2026'!$D$9-0.01</f>
        <v>-0.04</v>
      </c>
      <c r="F10" s="135" t="n">
        <f aca="false">'4. Assumptions_FY2026'!$D$9+0</f>
        <v>-0.03</v>
      </c>
      <c r="G10" s="135" t="n">
        <f aca="false">'4. Assumptions_FY2026'!$D$9+0.01</f>
        <v>-0.02</v>
      </c>
      <c r="H10" s="135" t="n">
        <f aca="false">'4. Assumptions_FY2026'!$D$9+0.02</f>
        <v>-0.01</v>
      </c>
      <c r="I10" s="135" t="n">
        <f aca="false">'4. Assumptions_FY2026'!$D$9+0.03</f>
        <v>0</v>
      </c>
    </row>
    <row r="11" customFormat="false" ht="15" hidden="false" customHeight="false" outlineLevel="0" collapsed="false">
      <c r="A11" s="113"/>
      <c r="B11" s="136" t="str">
        <f aca="false">IF(ROUND(B10-'4. Assumptions_FY2026'!$D$9,6)=0,"Base","")</f>
        <v/>
      </c>
      <c r="C11" s="136" t="str">
        <f aca="false">IF(ROUND(C10-'4. Assumptions_FY2026'!$D$9,6)=0,"Base","")</f>
        <v/>
      </c>
      <c r="D11" s="136" t="str">
        <f aca="false">IF(ROUND(D10-'4. Assumptions_FY2026'!$D$9,6)=0,"Base","")</f>
        <v/>
      </c>
      <c r="E11" s="136" t="str">
        <f aca="false">IF(ROUND(E10-'4. Assumptions_FY2026'!$D$9,6)=0,"Base","")</f>
        <v/>
      </c>
      <c r="F11" s="136" t="str">
        <f aca="false">IF(ROUND(F10-'4. Assumptions_FY2026'!$D$9,6)=0,"Base","")</f>
        <v>Base</v>
      </c>
      <c r="G11" s="136" t="str">
        <f aca="false">IF(ROUND(G10-'4. Assumptions_FY2026'!$D$9,6)=0,"Base","")</f>
        <v/>
      </c>
      <c r="H11" s="136" t="str">
        <f aca="false">IF(ROUND(H10-'4. Assumptions_FY2026'!$D$9,6)=0,"Base","")</f>
        <v/>
      </c>
      <c r="I11" s="136" t="str">
        <f aca="false">IF(ROUND(I10-'4. Assumptions_FY2026'!$D$9,6)=0,"Base","")</f>
        <v/>
      </c>
    </row>
    <row r="12" customFormat="false" ht="15" hidden="false" customHeight="false" outlineLevel="0" collapsed="false">
      <c r="A12" s="110" t="s">
        <v>138</v>
      </c>
      <c r="B12" s="122" t="n">
        <f aca="false">'4. Reforecast_FY2026'!$B$5*(1+'4. Assumptions_FY2026'!$D$7+'4. Assumptions_FY2026'!$D$8+B$10)</f>
        <v>86447.34</v>
      </c>
      <c r="C12" s="122" t="n">
        <f aca="false">'4. Reforecast_FY2026'!$B$5*(1+'4. Assumptions_FY2026'!$D$7+'4. Assumptions_FY2026'!$D$8+C$10)</f>
        <v>87342.24</v>
      </c>
      <c r="D12" s="122" t="n">
        <f aca="false">'4. Reforecast_FY2026'!$B$5*(1+'4. Assumptions_FY2026'!$D$7+'4. Assumptions_FY2026'!$D$8+D$10)</f>
        <v>88237.14</v>
      </c>
      <c r="E12" s="122" t="n">
        <f aca="false">'4. Reforecast_FY2026'!$B$5*(1+'4. Assumptions_FY2026'!$D$7+'4. Assumptions_FY2026'!$D$8+E$10)</f>
        <v>89132.04</v>
      </c>
      <c r="F12" s="122" t="n">
        <f aca="false">'4. Reforecast_FY2026'!$B$5*(1+'4. Assumptions_FY2026'!$D$7+'4. Assumptions_FY2026'!$D$8+F$10)</f>
        <v>90026.94</v>
      </c>
      <c r="G12" s="122" t="n">
        <f aca="false">'4. Reforecast_FY2026'!$B$5*(1+'4. Assumptions_FY2026'!$D$7+'4. Assumptions_FY2026'!$D$8+G$10)</f>
        <v>90921.84</v>
      </c>
      <c r="H12" s="122" t="n">
        <f aca="false">'4. Reforecast_FY2026'!$B$5*(1+'4. Assumptions_FY2026'!$D$7+'4. Assumptions_FY2026'!$D$8+H$10)</f>
        <v>91816.74</v>
      </c>
      <c r="I12" s="122" t="n">
        <f aca="false">'4. Reforecast_FY2026'!$B$5*(1+'4. Assumptions_FY2026'!$D$7+'4. Assumptions_FY2026'!$D$8+I$10)</f>
        <v>92711.64</v>
      </c>
    </row>
    <row r="13" customFormat="false" ht="15" hidden="false" customHeight="false" outlineLevel="0" collapsed="false">
      <c r="A13" s="110" t="s">
        <v>492</v>
      </c>
      <c r="B13" s="122" t="n">
        <f aca="false">B12*(1+'4. Assumptions_FY2026'!$D$11-'4. Assumptions_FY2026'!$D$12-'4. Assumptions_FY2026'!$D$13-'4. Assumptions_FY2026'!$D$14-'4. Assumptions_FY2026'!$D$15)</f>
        <v>14307.03477</v>
      </c>
      <c r="C13" s="122" t="n">
        <f aca="false">C12*(1+'4. Assumptions_FY2026'!$D$11-'4. Assumptions_FY2026'!$D$12-'4. Assumptions_FY2026'!$D$13-'4. Assumptions_FY2026'!$D$14-'4. Assumptions_FY2026'!$D$15)</f>
        <v>14455.14072</v>
      </c>
      <c r="D13" s="122" t="n">
        <f aca="false">D12*(1+'4. Assumptions_FY2026'!$D$11-'4. Assumptions_FY2026'!$D$12-'4. Assumptions_FY2026'!$D$13-'4. Assumptions_FY2026'!$D$14-'4. Assumptions_FY2026'!$D$15)</f>
        <v>14603.24667</v>
      </c>
      <c r="E13" s="122" t="n">
        <f aca="false">E12*(1+'4. Assumptions_FY2026'!$D$11-'4. Assumptions_FY2026'!$D$12-'4. Assumptions_FY2026'!$D$13-'4. Assumptions_FY2026'!$D$14-'4. Assumptions_FY2026'!$D$15)</f>
        <v>14751.35262</v>
      </c>
      <c r="F13" s="122" t="n">
        <f aca="false">F12*(1+'4. Assumptions_FY2026'!$D$11-'4. Assumptions_FY2026'!$D$12-'4. Assumptions_FY2026'!$D$13-'4. Assumptions_FY2026'!$D$14-'4. Assumptions_FY2026'!$D$15)</f>
        <v>14899.45857</v>
      </c>
      <c r="G13" s="122" t="n">
        <f aca="false">G12*(1+'4. Assumptions_FY2026'!$D$11-'4. Assumptions_FY2026'!$D$12-'4. Assumptions_FY2026'!$D$13-'4. Assumptions_FY2026'!$D$14-'4. Assumptions_FY2026'!$D$15)</f>
        <v>15047.56452</v>
      </c>
      <c r="H13" s="122" t="n">
        <f aca="false">H12*(1+'4. Assumptions_FY2026'!$D$11-'4. Assumptions_FY2026'!$D$12-'4. Assumptions_FY2026'!$D$13-'4. Assumptions_FY2026'!$D$14-'4. Assumptions_FY2026'!$D$15)</f>
        <v>15195.67047</v>
      </c>
      <c r="I13" s="122" t="n">
        <f aca="false">I12*(1+'4. Assumptions_FY2026'!$D$11-'4. Assumptions_FY2026'!$D$12-'4. Assumptions_FY2026'!$D$13-'4. Assumptions_FY2026'!$D$14-'4. Assumptions_FY2026'!$D$15)</f>
        <v>15343.77642</v>
      </c>
    </row>
    <row r="14" customFormat="false" ht="15" hidden="false" customHeight="false" outlineLevel="0" collapsed="false">
      <c r="A14" s="110" t="s">
        <v>470</v>
      </c>
      <c r="B14" s="112" t="n">
        <f aca="false">B13/B12</f>
        <v>0.1655</v>
      </c>
      <c r="C14" s="112" t="n">
        <f aca="false">C13/C12</f>
        <v>0.1655</v>
      </c>
      <c r="D14" s="112" t="n">
        <f aca="false">D13/D12</f>
        <v>0.1655</v>
      </c>
      <c r="E14" s="112" t="n">
        <f aca="false">E13/E12</f>
        <v>0.1655</v>
      </c>
      <c r="F14" s="112" t="n">
        <f aca="false">F13/F12</f>
        <v>0.1655</v>
      </c>
      <c r="G14" s="112" t="n">
        <f aca="false">G13/G12</f>
        <v>0.1655</v>
      </c>
      <c r="H14" s="112" t="n">
        <f aca="false">H13/H12</f>
        <v>0.1655</v>
      </c>
      <c r="I14" s="112" t="n">
        <f aca="false">I13/I12</f>
        <v>0.1655</v>
      </c>
    </row>
    <row r="15" customFormat="false" ht="15" hidden="false" customHeight="false" outlineLevel="0" collapsed="false">
      <c r="A15" s="110" t="s">
        <v>493</v>
      </c>
      <c r="B15" s="122" t="n">
        <f aca="false">B13+B12*('4. Assumptions_FY2026'!$D$17+'4. Assumptions_FY2026'!$D$18)</f>
        <v>11108.48319</v>
      </c>
      <c r="C15" s="122" t="n">
        <f aca="false">C13+C12*('4. Assumptions_FY2026'!$D$17+'4. Assumptions_FY2026'!$D$18)</f>
        <v>11223.47784</v>
      </c>
      <c r="D15" s="122" t="n">
        <f aca="false">D13+D12*('4. Assumptions_FY2026'!$D$17+'4. Assumptions_FY2026'!$D$18)</f>
        <v>11338.47249</v>
      </c>
      <c r="E15" s="122" t="n">
        <f aca="false">E13+E12*('4. Assumptions_FY2026'!$D$17+'4. Assumptions_FY2026'!$D$18)</f>
        <v>11453.46714</v>
      </c>
      <c r="F15" s="122" t="n">
        <f aca="false">F13+F12*('4. Assumptions_FY2026'!$D$17+'4. Assumptions_FY2026'!$D$18)</f>
        <v>11568.46179</v>
      </c>
      <c r="G15" s="122" t="n">
        <f aca="false">G13+G12*('4. Assumptions_FY2026'!$D$17+'4. Assumptions_FY2026'!$D$18)</f>
        <v>11683.45644</v>
      </c>
      <c r="H15" s="122" t="n">
        <f aca="false">H13+H12*('4. Assumptions_FY2026'!$D$17+'4. Assumptions_FY2026'!$D$18)</f>
        <v>11798.45109</v>
      </c>
      <c r="I15" s="122" t="n">
        <f aca="false">I13+I12*('4. Assumptions_FY2026'!$D$17+'4. Assumptions_FY2026'!$D$18)</f>
        <v>11913.44574</v>
      </c>
    </row>
    <row r="16" customFormat="false" ht="15" hidden="false" customHeight="false" outlineLevel="0" collapsed="false">
      <c r="A16" s="110" t="s">
        <v>494</v>
      </c>
      <c r="B16" s="122" t="n">
        <f aca="false">B15+'4. Reforecast_FY2026'!$C$18</f>
        <v>9704.56318999999</v>
      </c>
      <c r="C16" s="122" t="n">
        <f aca="false">C15+'4. Reforecast_FY2026'!$C$18</f>
        <v>9819.55783999999</v>
      </c>
      <c r="D16" s="122" t="n">
        <f aca="false">D15+'4. Reforecast_FY2026'!$C$18</f>
        <v>9934.55248999999</v>
      </c>
      <c r="E16" s="122" t="n">
        <f aca="false">E15+'4. Reforecast_FY2026'!$C$18</f>
        <v>10049.54714</v>
      </c>
      <c r="F16" s="122" t="n">
        <f aca="false">F15+'4. Reforecast_FY2026'!$C$18</f>
        <v>10164.54179</v>
      </c>
      <c r="G16" s="122" t="n">
        <f aca="false">G15+'4. Reforecast_FY2026'!$C$18</f>
        <v>10279.53644</v>
      </c>
      <c r="H16" s="122" t="n">
        <f aca="false">H15+'4. Reforecast_FY2026'!$C$18</f>
        <v>10394.53109</v>
      </c>
      <c r="I16" s="122" t="n">
        <f aca="false">I15+'4. Reforecast_FY2026'!$C$18</f>
        <v>10509.52574</v>
      </c>
    </row>
    <row r="17" customFormat="false" ht="15" hidden="false" customHeight="false" outlineLevel="0" collapsed="false">
      <c r="A17" s="110" t="s">
        <v>156</v>
      </c>
      <c r="B17" s="122" t="n">
        <f aca="false">-B16*'4. Assumptions_FY2026'!$D$22</f>
        <v>-2571.70924535</v>
      </c>
      <c r="C17" s="122" t="n">
        <f aca="false">-C16*'4. Assumptions_FY2026'!$D$22</f>
        <v>-2602.1828276</v>
      </c>
      <c r="D17" s="122" t="n">
        <f aca="false">-D16*'4. Assumptions_FY2026'!$D$22</f>
        <v>-2632.65640985</v>
      </c>
      <c r="E17" s="122" t="n">
        <f aca="false">-E16*'4. Assumptions_FY2026'!$D$22</f>
        <v>-2663.1299921</v>
      </c>
      <c r="F17" s="122" t="n">
        <f aca="false">-F16*'4. Assumptions_FY2026'!$D$22</f>
        <v>-2693.60357435</v>
      </c>
      <c r="G17" s="122" t="n">
        <f aca="false">-G16*'4. Assumptions_FY2026'!$D$22</f>
        <v>-2724.0771566</v>
      </c>
      <c r="H17" s="122" t="n">
        <f aca="false">-H16*'4. Assumptions_FY2026'!$D$22</f>
        <v>-2754.55073885</v>
      </c>
      <c r="I17" s="122" t="n">
        <f aca="false">-I16*'4. Assumptions_FY2026'!$D$22</f>
        <v>-2785.0243211</v>
      </c>
    </row>
    <row r="18" customFormat="false" ht="15" hidden="false" customHeight="false" outlineLevel="0" collapsed="false">
      <c r="A18" s="137" t="s">
        <v>495</v>
      </c>
      <c r="B18" s="138" t="n">
        <f aca="false">(B16+'4. Reforecast_FY2026'!$C$20+B17)*(1-'4. Assumptions_FY2026'!$D$23)</f>
        <v>7750.40082631049</v>
      </c>
      <c r="C18" s="138" t="n">
        <f aca="false">(C16+'4. Reforecast_FY2026'!$C$20+C17)*(1-'4. Assumptions_FY2026'!$D$23)</f>
        <v>7832.38626202799</v>
      </c>
      <c r="D18" s="138" t="n">
        <f aca="false">(D16+'4. Reforecast_FY2026'!$C$20+D17)*(1-'4. Assumptions_FY2026'!$D$23)</f>
        <v>7914.37169774549</v>
      </c>
      <c r="E18" s="138" t="n">
        <f aca="false">(E16+'4. Reforecast_FY2026'!$C$20+E17)*(1-'4. Assumptions_FY2026'!$D$23)</f>
        <v>7996.35713346299</v>
      </c>
      <c r="F18" s="138" t="n">
        <f aca="false">(F16+'4. Reforecast_FY2026'!$C$20+F17)*(1-'4. Assumptions_FY2026'!$D$23)</f>
        <v>8078.34256918049</v>
      </c>
      <c r="G18" s="138" t="n">
        <f aca="false">(G16+'4. Reforecast_FY2026'!$C$20+G17)*(1-'4. Assumptions_FY2026'!$D$23)</f>
        <v>8160.32800489799</v>
      </c>
      <c r="H18" s="138" t="n">
        <f aca="false">(H16+'4. Reforecast_FY2026'!$C$20+H17)*(1-'4. Assumptions_FY2026'!$D$23)</f>
        <v>8242.31344061549</v>
      </c>
      <c r="I18" s="138" t="n">
        <f aca="false">(I16+'4. Reforecast_FY2026'!$C$20+I17)*(1-'4. Assumptions_FY2026'!$D$23)</f>
        <v>8324.29887633299</v>
      </c>
    </row>
    <row r="19" customFormat="false" ht="15" hidden="false" customHeight="false" outlineLevel="0" collapsed="false">
      <c r="A19" s="110" t="s">
        <v>325</v>
      </c>
      <c r="B19" s="139" t="n">
        <f aca="false">B18/'4. Assumptions_FY2026'!$D$24</f>
        <v>3.01337512687033</v>
      </c>
      <c r="C19" s="139" t="n">
        <f aca="false">C18/'4. Assumptions_FY2026'!$D$24</f>
        <v>3.0452512682846</v>
      </c>
      <c r="D19" s="139" t="n">
        <f aca="false">D18/'4. Assumptions_FY2026'!$D$24</f>
        <v>3.07712740969887</v>
      </c>
      <c r="E19" s="139" t="n">
        <f aca="false">E18/'4. Assumptions_FY2026'!$D$24</f>
        <v>3.10900355111314</v>
      </c>
      <c r="F19" s="139" t="n">
        <f aca="false">F18/'4. Assumptions_FY2026'!$D$24</f>
        <v>3.14087969252741</v>
      </c>
      <c r="G19" s="139" t="n">
        <f aca="false">G18/'4. Assumptions_FY2026'!$D$24</f>
        <v>3.17275583394168</v>
      </c>
      <c r="H19" s="139" t="n">
        <f aca="false">H18/'4. Assumptions_FY2026'!$D$24</f>
        <v>3.20463197535595</v>
      </c>
      <c r="I19" s="139" t="n">
        <f aca="false">I18/'4. Assumptions_FY2026'!$D$24</f>
        <v>3.23650811677021</v>
      </c>
    </row>
    <row r="20" customFormat="false" ht="15" hidden="false" customHeight="false" outlineLevel="0" collapsed="false">
      <c r="A20" s="110" t="s">
        <v>496</v>
      </c>
      <c r="B20" s="122" t="n">
        <f aca="false">B15+B12*('4. Assumptions_FY2026'!$D$27-'4. Assumptions_FY2026'!$D$35-'4. Assumptions_FY2026'!$D$36)+'4. Reforecast_FY2026'!$C$38+'4. Reforecast_FY2026'!$C$39+'4. Reforecast_FY2026'!$C$41+'4. Reforecast_FY2026'!$C$43+'4. Reforecast_FY2026'!$C$44+'4. Reforecast_FY2026'!$C$46+B17*'4. Assumptions_FY2026'!$D$33</f>
        <v>10342.70625372</v>
      </c>
      <c r="C20" s="122" t="n">
        <f aca="false">C15+C12*('4. Assumptions_FY2026'!$D$27-'4. Assumptions_FY2026'!$D$35-'4. Assumptions_FY2026'!$D$36)+'4. Reforecast_FY2026'!$C$38+'4. Reforecast_FY2026'!$C$39+'4. Reforecast_FY2026'!$C$41+'4. Reforecast_FY2026'!$C$43+'4. Reforecast_FY2026'!$C$44+'4. Reforecast_FY2026'!$C$46+C17*'4. Assumptions_FY2026'!$D$33</f>
        <v>10427.95263792</v>
      </c>
      <c r="D20" s="122" t="n">
        <f aca="false">D15+D12*('4. Assumptions_FY2026'!$D$27-'4. Assumptions_FY2026'!$D$35-'4. Assumptions_FY2026'!$D$36)+'4. Reforecast_FY2026'!$C$38+'4. Reforecast_FY2026'!$C$39+'4. Reforecast_FY2026'!$C$41+'4. Reforecast_FY2026'!$C$43+'4. Reforecast_FY2026'!$C$44+'4. Reforecast_FY2026'!$C$46+D17*'4. Assumptions_FY2026'!$D$33</f>
        <v>10513.19902212</v>
      </c>
      <c r="E20" s="122" t="n">
        <f aca="false">E15+E12*('4. Assumptions_FY2026'!$D$27-'4. Assumptions_FY2026'!$D$35-'4. Assumptions_FY2026'!$D$36)+'4. Reforecast_FY2026'!$C$38+'4. Reforecast_FY2026'!$C$39+'4. Reforecast_FY2026'!$C$41+'4. Reforecast_FY2026'!$C$43+'4. Reforecast_FY2026'!$C$44+'4. Reforecast_FY2026'!$C$46+E17*'4. Assumptions_FY2026'!$D$33</f>
        <v>10598.44540632</v>
      </c>
      <c r="F20" s="122" t="n">
        <f aca="false">F15+F12*('4. Assumptions_FY2026'!$D$27-'4. Assumptions_FY2026'!$D$35-'4. Assumptions_FY2026'!$D$36)+'4. Reforecast_FY2026'!$C$38+'4. Reforecast_FY2026'!$C$39+'4. Reforecast_FY2026'!$C$41+'4. Reforecast_FY2026'!$C$43+'4. Reforecast_FY2026'!$C$44+'4. Reforecast_FY2026'!$C$46+F17*'4. Assumptions_FY2026'!$D$33</f>
        <v>10683.69179052</v>
      </c>
      <c r="G20" s="122" t="n">
        <f aca="false">G15+G12*('4. Assumptions_FY2026'!$D$27-'4. Assumptions_FY2026'!$D$35-'4. Assumptions_FY2026'!$D$36)+'4. Reforecast_FY2026'!$C$38+'4. Reforecast_FY2026'!$C$39+'4. Reforecast_FY2026'!$C$41+'4. Reforecast_FY2026'!$C$43+'4. Reforecast_FY2026'!$C$44+'4. Reforecast_FY2026'!$C$46+G17*'4. Assumptions_FY2026'!$D$33</f>
        <v>10768.93817472</v>
      </c>
      <c r="H20" s="122" t="n">
        <f aca="false">H15+H12*('4. Assumptions_FY2026'!$D$27-'4. Assumptions_FY2026'!$D$35-'4. Assumptions_FY2026'!$D$36)+'4. Reforecast_FY2026'!$C$38+'4. Reforecast_FY2026'!$C$39+'4. Reforecast_FY2026'!$C$41+'4. Reforecast_FY2026'!$C$43+'4. Reforecast_FY2026'!$C$44+'4. Reforecast_FY2026'!$C$46+H17*'4. Assumptions_FY2026'!$D$33</f>
        <v>10854.18455892</v>
      </c>
      <c r="I20" s="122" t="n">
        <f aca="false">I15+I12*('4. Assumptions_FY2026'!$D$27-'4. Assumptions_FY2026'!$D$35-'4. Assumptions_FY2026'!$D$36)+'4. Reforecast_FY2026'!$C$38+'4. Reforecast_FY2026'!$C$39+'4. Reforecast_FY2026'!$C$41+'4. Reforecast_FY2026'!$C$43+'4. Reforecast_FY2026'!$C$44+'4. Reforecast_FY2026'!$C$46+I17*'4. Assumptions_FY2026'!$D$33</f>
        <v>10939.43094312</v>
      </c>
    </row>
    <row r="21" customFormat="false" ht="15" hidden="false" customHeight="false" outlineLevel="0" collapsed="false">
      <c r="A21" s="137" t="s">
        <v>497</v>
      </c>
      <c r="B21" s="138" t="n">
        <f aca="false">B18-'4. Reforecast_FY2026'!$C$24</f>
        <v>-327.941742870005</v>
      </c>
      <c r="C21" s="138" t="n">
        <f aca="false">C18-'4. Reforecast_FY2026'!$C$24</f>
        <v>-245.956307152504</v>
      </c>
      <c r="D21" s="138" t="n">
        <f aca="false">D18-'4. Reforecast_FY2026'!$C$24</f>
        <v>-163.970871435004</v>
      </c>
      <c r="E21" s="138" t="n">
        <f aca="false">E18-'4. Reforecast_FY2026'!$C$24</f>
        <v>-81.9854357175054</v>
      </c>
      <c r="F21" s="138" t="n">
        <f aca="false">F18-'4. Reforecast_FY2026'!$C$24</f>
        <v>0</v>
      </c>
      <c r="G21" s="138" t="n">
        <f aca="false">G18-'4. Reforecast_FY2026'!$C$24</f>
        <v>81.9854357174945</v>
      </c>
      <c r="H21" s="138" t="n">
        <f aca="false">H18-'4. Reforecast_FY2026'!$C$24</f>
        <v>163.970871434995</v>
      </c>
      <c r="I21" s="138" t="n">
        <f aca="false">I18-'4. Reforecast_FY2026'!$C$24</f>
        <v>245.956307152496</v>
      </c>
    </row>
    <row r="22" customFormat="false" ht="15" hidden="false" customHeight="false" outlineLevel="0" collapsed="false">
      <c r="A22" s="110" t="s">
        <v>498</v>
      </c>
      <c r="B22" s="112" t="n">
        <f aca="false">B18/'4. Reforecast_FY2026'!$B$24-1</f>
        <v>-0.14199038787662</v>
      </c>
      <c r="C22" s="112" t="n">
        <f aca="false">C18/'4. Reforecast_FY2026'!$B$24-1</f>
        <v>-0.132914174468284</v>
      </c>
      <c r="D22" s="112" t="n">
        <f aca="false">D18/'4. Reforecast_FY2026'!$B$24-1</f>
        <v>-0.123837961059948</v>
      </c>
      <c r="E22" s="112" t="n">
        <f aca="false">E18/'4. Reforecast_FY2026'!$B$24-1</f>
        <v>-0.114761747651612</v>
      </c>
      <c r="F22" s="112" t="n">
        <f aca="false">F18/'4. Reforecast_FY2026'!$B$24-1</f>
        <v>-0.105685534243276</v>
      </c>
      <c r="G22" s="112" t="n">
        <f aca="false">G18/'4. Reforecast_FY2026'!$B$24-1</f>
        <v>-0.0966093208349396</v>
      </c>
      <c r="H22" s="112" t="n">
        <f aca="false">H18/'4. Reforecast_FY2026'!$B$24-1</f>
        <v>-0.0875331074266034</v>
      </c>
      <c r="I22" s="112" t="n">
        <f aca="false">I18/'4. Reforecast_FY2026'!$B$24-1</f>
        <v>-0.0784568940182672</v>
      </c>
    </row>
    <row r="23" customFormat="false" ht="15" hidden="false" customHeight="false" outlineLevel="0" collapsed="false">
      <c r="A23" s="94"/>
      <c r="B23" s="94"/>
      <c r="C23" s="94"/>
      <c r="D23" s="94"/>
      <c r="E23" s="94"/>
      <c r="F23" s="94"/>
      <c r="G23" s="94"/>
      <c r="H23" s="94"/>
      <c r="I23" s="94"/>
    </row>
    <row r="24" customFormat="false" ht="18" hidden="false" customHeight="true" outlineLevel="0" collapsed="false">
      <c r="A24" s="95" t="s">
        <v>499</v>
      </c>
      <c r="B24" s="96"/>
      <c r="C24" s="96"/>
      <c r="D24" s="96"/>
      <c r="E24" s="96"/>
      <c r="F24" s="96"/>
      <c r="G24" s="96"/>
      <c r="H24" s="96"/>
      <c r="I24" s="96"/>
      <c r="J24" s="129"/>
      <c r="K24" s="129"/>
      <c r="L24" s="129"/>
    </row>
    <row r="25" customFormat="false" ht="15" hidden="false" customHeight="false" outlineLevel="0" collapsed="false">
      <c r="A25" s="124" t="s">
        <v>500</v>
      </c>
      <c r="B25" s="140" t="n">
        <f aca="false">'4. Assumptions_FY2026'!$D$12-0.015</f>
        <v>0.521</v>
      </c>
      <c r="C25" s="140" t="n">
        <f aca="false">'4. Assumptions_FY2026'!$D$12-0.01</f>
        <v>0.526</v>
      </c>
      <c r="D25" s="140" t="n">
        <f aca="false">'4. Assumptions_FY2026'!$D$12-0.005</f>
        <v>0.531</v>
      </c>
      <c r="E25" s="140" t="n">
        <f aca="false">'4. Assumptions_FY2026'!$D$12+0</f>
        <v>0.536</v>
      </c>
      <c r="F25" s="140" t="n">
        <f aca="false">'4. Assumptions_FY2026'!$D$12+0.005</f>
        <v>0.541</v>
      </c>
      <c r="G25" s="140" t="n">
        <f aca="false">'4. Assumptions_FY2026'!$D$12+0.01</f>
        <v>0.546</v>
      </c>
      <c r="H25" s="140" t="n">
        <f aca="false">'4. Assumptions_FY2026'!$D$12+0.015</f>
        <v>0.551</v>
      </c>
      <c r="I25" s="113"/>
    </row>
    <row r="26" customFormat="false" ht="15" hidden="false" customHeight="false" outlineLevel="0" collapsed="false">
      <c r="A26" s="113"/>
      <c r="B26" s="136" t="str">
        <f aca="false">IF(ROUND(B25-'4. Assumptions_FY2026'!$D$12,6)=0,"Base","")</f>
        <v/>
      </c>
      <c r="C26" s="136" t="str">
        <f aca="false">IF(ROUND(C25-'4. Assumptions_FY2026'!$D$12,6)=0,"Base","")</f>
        <v/>
      </c>
      <c r="D26" s="136" t="str">
        <f aca="false">IF(ROUND(D25-'4. Assumptions_FY2026'!$D$12,6)=0,"Base","")</f>
        <v/>
      </c>
      <c r="E26" s="136" t="str">
        <f aca="false">IF(ROUND(E25-'4. Assumptions_FY2026'!$D$12,6)=0,"Base","")</f>
        <v>Base</v>
      </c>
      <c r="F26" s="136" t="str">
        <f aca="false">IF(ROUND(F25-'4. Assumptions_FY2026'!$D$12,6)=0,"Base","")</f>
        <v/>
      </c>
      <c r="G26" s="136" t="str">
        <f aca="false">IF(ROUND(G25-'4. Assumptions_FY2026'!$D$12,6)=0,"Base","")</f>
        <v/>
      </c>
      <c r="H26" s="136" t="str">
        <f aca="false">IF(ROUND(H25-'4. Assumptions_FY2026'!$D$12,6)=0,"Base","")</f>
        <v/>
      </c>
      <c r="I26" s="113"/>
    </row>
    <row r="27" customFormat="false" ht="15" hidden="false" customHeight="false" outlineLevel="0" collapsed="false">
      <c r="A27" s="110" t="s">
        <v>138</v>
      </c>
      <c r="B27" s="122" t="n">
        <f aca="false">'4. Reforecast_FY2026'!$B$5*(1+'4. Assumptions_FY2026'!$D$7+'4. Assumptions_FY2026'!$D$8+'4. Assumptions_FY2026'!$D$9)</f>
        <v>90026.94</v>
      </c>
      <c r="C27" s="122" t="n">
        <f aca="false">'4. Reforecast_FY2026'!$B$5*(1+'4. Assumptions_FY2026'!$D$7+'4. Assumptions_FY2026'!$D$8+'4. Assumptions_FY2026'!$D$9)</f>
        <v>90026.94</v>
      </c>
      <c r="D27" s="122" t="n">
        <f aca="false">'4. Reforecast_FY2026'!$B$5*(1+'4. Assumptions_FY2026'!$D$7+'4. Assumptions_FY2026'!$D$8+'4. Assumptions_FY2026'!$D$9)</f>
        <v>90026.94</v>
      </c>
      <c r="E27" s="122" t="n">
        <f aca="false">'4. Reforecast_FY2026'!$B$5*(1+'4. Assumptions_FY2026'!$D$7+'4. Assumptions_FY2026'!$D$8+'4. Assumptions_FY2026'!$D$9)</f>
        <v>90026.94</v>
      </c>
      <c r="F27" s="122" t="n">
        <f aca="false">'4. Reforecast_FY2026'!$B$5*(1+'4. Assumptions_FY2026'!$D$7+'4. Assumptions_FY2026'!$D$8+'4. Assumptions_FY2026'!$D$9)</f>
        <v>90026.94</v>
      </c>
      <c r="G27" s="122" t="n">
        <f aca="false">'4. Reforecast_FY2026'!$B$5*(1+'4. Assumptions_FY2026'!$D$7+'4. Assumptions_FY2026'!$D$8+'4. Assumptions_FY2026'!$D$9)</f>
        <v>90026.94</v>
      </c>
      <c r="H27" s="122" t="n">
        <f aca="false">'4. Reforecast_FY2026'!$B$5*(1+'4. Assumptions_FY2026'!$D$7+'4. Assumptions_FY2026'!$D$8+'4. Assumptions_FY2026'!$D$9)</f>
        <v>90026.94</v>
      </c>
      <c r="I27" s="113"/>
    </row>
    <row r="28" customFormat="false" ht="15" hidden="false" customHeight="false" outlineLevel="0" collapsed="false">
      <c r="A28" s="110" t="s">
        <v>492</v>
      </c>
      <c r="B28" s="122" t="n">
        <f aca="false">B27*(1+'4. Assumptions_FY2026'!$D$11-B$25-'4. Assumptions_FY2026'!$D$13-'4. Assumptions_FY2026'!$D$14-'4. Assumptions_FY2026'!$D$15)</f>
        <v>16249.86267</v>
      </c>
      <c r="C28" s="122" t="n">
        <f aca="false">C27*(1+'4. Assumptions_FY2026'!$D$11-C$25-'4. Assumptions_FY2026'!$D$13-'4. Assumptions_FY2026'!$D$14-'4. Assumptions_FY2026'!$D$15)</f>
        <v>15799.72797</v>
      </c>
      <c r="D28" s="122" t="n">
        <f aca="false">D27*(1+'4. Assumptions_FY2026'!$D$11-D$25-'4. Assumptions_FY2026'!$D$13-'4. Assumptions_FY2026'!$D$14-'4. Assumptions_FY2026'!$D$15)</f>
        <v>15349.59327</v>
      </c>
      <c r="E28" s="122" t="n">
        <f aca="false">E27*(1+'4. Assumptions_FY2026'!$D$11-E$25-'4. Assumptions_FY2026'!$D$13-'4. Assumptions_FY2026'!$D$14-'4. Assumptions_FY2026'!$D$15)</f>
        <v>14899.45857</v>
      </c>
      <c r="F28" s="122" t="n">
        <f aca="false">F27*(1+'4. Assumptions_FY2026'!$D$11-F$25-'4. Assumptions_FY2026'!$D$13-'4. Assumptions_FY2026'!$D$14-'4. Assumptions_FY2026'!$D$15)</f>
        <v>14449.32387</v>
      </c>
      <c r="G28" s="122" t="n">
        <f aca="false">G27*(1+'4. Assumptions_FY2026'!$D$11-G$25-'4. Assumptions_FY2026'!$D$13-'4. Assumptions_FY2026'!$D$14-'4. Assumptions_FY2026'!$D$15)</f>
        <v>13999.18917</v>
      </c>
      <c r="H28" s="122" t="n">
        <f aca="false">H27*(1+'4. Assumptions_FY2026'!$D$11-H$25-'4. Assumptions_FY2026'!$D$13-'4. Assumptions_FY2026'!$D$14-'4. Assumptions_FY2026'!$D$15)</f>
        <v>13549.05447</v>
      </c>
      <c r="I28" s="113"/>
    </row>
    <row r="29" customFormat="false" ht="15" hidden="false" customHeight="false" outlineLevel="0" collapsed="false">
      <c r="A29" s="110" t="s">
        <v>470</v>
      </c>
      <c r="B29" s="112" t="n">
        <f aca="false">B28/B27</f>
        <v>0.1805</v>
      </c>
      <c r="C29" s="112" t="n">
        <f aca="false">C28/C27</f>
        <v>0.1755</v>
      </c>
      <c r="D29" s="112" t="n">
        <f aca="false">D28/D27</f>
        <v>0.1705</v>
      </c>
      <c r="E29" s="112" t="n">
        <f aca="false">E28/E27</f>
        <v>0.1655</v>
      </c>
      <c r="F29" s="112" t="n">
        <f aca="false">F28/F27</f>
        <v>0.1605</v>
      </c>
      <c r="G29" s="112" t="n">
        <f aca="false">G28/G27</f>
        <v>0.1555</v>
      </c>
      <c r="H29" s="112" t="n">
        <f aca="false">H28/H27</f>
        <v>0.1505</v>
      </c>
      <c r="I29" s="113"/>
    </row>
    <row r="30" customFormat="false" ht="15" hidden="false" customHeight="false" outlineLevel="0" collapsed="false">
      <c r="A30" s="110" t="s">
        <v>493</v>
      </c>
      <c r="B30" s="122" t="n">
        <f aca="false">B28+B27*('4. Assumptions_FY2026'!$D$17+'4. Assumptions_FY2026'!$D$18)</f>
        <v>12918.86589</v>
      </c>
      <c r="C30" s="122" t="n">
        <f aca="false">C28+C27*('4. Assumptions_FY2026'!$D$17+'4. Assumptions_FY2026'!$D$18)</f>
        <v>12468.73119</v>
      </c>
      <c r="D30" s="122" t="n">
        <f aca="false">D28+D27*('4. Assumptions_FY2026'!$D$17+'4. Assumptions_FY2026'!$D$18)</f>
        <v>12018.59649</v>
      </c>
      <c r="E30" s="122" t="n">
        <f aca="false">E28+E27*('4. Assumptions_FY2026'!$D$17+'4. Assumptions_FY2026'!$D$18)</f>
        <v>11568.46179</v>
      </c>
      <c r="F30" s="122" t="n">
        <f aca="false">F28+F27*('4. Assumptions_FY2026'!$D$17+'4. Assumptions_FY2026'!$D$18)</f>
        <v>11118.32709</v>
      </c>
      <c r="G30" s="122" t="n">
        <f aca="false">G28+G27*('4. Assumptions_FY2026'!$D$17+'4. Assumptions_FY2026'!$D$18)</f>
        <v>10668.19239</v>
      </c>
      <c r="H30" s="122" t="n">
        <f aca="false">H28+H27*('4. Assumptions_FY2026'!$D$17+'4. Assumptions_FY2026'!$D$18)</f>
        <v>10218.05769</v>
      </c>
      <c r="I30" s="113"/>
    </row>
    <row r="31" customFormat="false" ht="15" hidden="false" customHeight="false" outlineLevel="0" collapsed="false">
      <c r="A31" s="110" t="s">
        <v>494</v>
      </c>
      <c r="B31" s="122" t="n">
        <f aca="false">B30+'4. Reforecast_FY2026'!$C$18</f>
        <v>11514.94589</v>
      </c>
      <c r="C31" s="122" t="n">
        <f aca="false">C30+'4. Reforecast_FY2026'!$C$18</f>
        <v>11064.81119</v>
      </c>
      <c r="D31" s="122" t="n">
        <f aca="false">D30+'4. Reforecast_FY2026'!$C$18</f>
        <v>10614.67649</v>
      </c>
      <c r="E31" s="122" t="n">
        <f aca="false">E30+'4. Reforecast_FY2026'!$C$18</f>
        <v>10164.54179</v>
      </c>
      <c r="F31" s="122" t="n">
        <f aca="false">F30+'4. Reforecast_FY2026'!$C$18</f>
        <v>9714.40708999999</v>
      </c>
      <c r="G31" s="122" t="n">
        <f aca="false">G30+'4. Reforecast_FY2026'!$C$18</f>
        <v>9264.27238999999</v>
      </c>
      <c r="H31" s="122" t="n">
        <f aca="false">H30+'4. Reforecast_FY2026'!$C$18</f>
        <v>8814.13768999999</v>
      </c>
      <c r="I31" s="113"/>
    </row>
    <row r="32" customFormat="false" ht="15" hidden="false" customHeight="false" outlineLevel="0" collapsed="false">
      <c r="A32" s="110" t="s">
        <v>156</v>
      </c>
      <c r="B32" s="122" t="n">
        <f aca="false">-B31*'4. Assumptions_FY2026'!$D$22</f>
        <v>-3051.46066085</v>
      </c>
      <c r="C32" s="122" t="n">
        <f aca="false">-C31*'4. Assumptions_FY2026'!$D$22</f>
        <v>-2932.17496535</v>
      </c>
      <c r="D32" s="122" t="n">
        <f aca="false">-D31*'4. Assumptions_FY2026'!$D$22</f>
        <v>-2812.88926985</v>
      </c>
      <c r="E32" s="122" t="n">
        <f aca="false">-E31*'4. Assumptions_FY2026'!$D$22</f>
        <v>-2693.60357435</v>
      </c>
      <c r="F32" s="122" t="n">
        <f aca="false">-F31*'4. Assumptions_FY2026'!$D$22</f>
        <v>-2574.31787885</v>
      </c>
      <c r="G32" s="122" t="n">
        <f aca="false">-G31*'4. Assumptions_FY2026'!$D$22</f>
        <v>-2455.03218335</v>
      </c>
      <c r="H32" s="122" t="n">
        <f aca="false">-H31*'4. Assumptions_FY2026'!$D$22</f>
        <v>-2335.74648785</v>
      </c>
      <c r="I32" s="113"/>
    </row>
    <row r="33" customFormat="false" ht="15" hidden="false" customHeight="false" outlineLevel="0" collapsed="false">
      <c r="A33" s="137" t="s">
        <v>495</v>
      </c>
      <c r="B33" s="138" t="n">
        <f aca="false">(B31+'4. Reforecast_FY2026'!$C$20+B32)*(1-'4. Assumptions_FY2026'!$D$23)</f>
        <v>9041.11317227549</v>
      </c>
      <c r="C33" s="138" t="n">
        <f aca="false">(C31+'4. Reforecast_FY2026'!$C$20+C32)*(1-'4. Assumptions_FY2026'!$D$23)</f>
        <v>8720.18963791049</v>
      </c>
      <c r="D33" s="138" t="n">
        <f aca="false">(D31+'4. Reforecast_FY2026'!$C$20+D32)*(1-'4. Assumptions_FY2026'!$D$23)</f>
        <v>8399.26610354549</v>
      </c>
      <c r="E33" s="138" t="n">
        <f aca="false">(E31+'4. Reforecast_FY2026'!$C$20+E32)*(1-'4. Assumptions_FY2026'!$D$23)</f>
        <v>8078.34256918049</v>
      </c>
      <c r="F33" s="138" t="n">
        <f aca="false">(F31+'4. Reforecast_FY2026'!$C$20+F32)*(1-'4. Assumptions_FY2026'!$D$23)</f>
        <v>7757.41903481549</v>
      </c>
      <c r="G33" s="138" t="n">
        <f aca="false">(G31+'4. Reforecast_FY2026'!$C$20+G32)*(1-'4. Assumptions_FY2026'!$D$23)</f>
        <v>7436.49550045049</v>
      </c>
      <c r="H33" s="138" t="n">
        <f aca="false">(H31+'4. Reforecast_FY2026'!$C$20+H32)*(1-'4. Assumptions_FY2026'!$D$23)</f>
        <v>7115.57196608549</v>
      </c>
      <c r="I33" s="113"/>
    </row>
    <row r="34" customFormat="false" ht="15" hidden="false" customHeight="false" outlineLevel="0" collapsed="false">
      <c r="A34" s="110" t="s">
        <v>325</v>
      </c>
      <c r="B34" s="139" t="n">
        <f aca="false">B33/'4. Assumptions_FY2026'!$D$24</f>
        <v>3.51520729870742</v>
      </c>
      <c r="C34" s="139" t="n">
        <f aca="false">C33/'4. Assumptions_FY2026'!$D$24</f>
        <v>3.39043142998075</v>
      </c>
      <c r="D34" s="139" t="n">
        <f aca="false">D33/'4. Assumptions_FY2026'!$D$24</f>
        <v>3.26565556125408</v>
      </c>
      <c r="E34" s="139" t="n">
        <f aca="false">E33/'4. Assumptions_FY2026'!$D$24</f>
        <v>3.14087969252741</v>
      </c>
      <c r="F34" s="139" t="n">
        <f aca="false">F33/'4. Assumptions_FY2026'!$D$24</f>
        <v>3.01610382380074</v>
      </c>
      <c r="G34" s="139" t="n">
        <f aca="false">G33/'4. Assumptions_FY2026'!$D$24</f>
        <v>2.89132795507406</v>
      </c>
      <c r="H34" s="139" t="n">
        <f aca="false">H33/'4. Assumptions_FY2026'!$D$24</f>
        <v>2.76655208634739</v>
      </c>
      <c r="I34" s="113"/>
    </row>
    <row r="35" customFormat="false" ht="15" hidden="false" customHeight="false" outlineLevel="0" collapsed="false">
      <c r="A35" s="110" t="s">
        <v>496</v>
      </c>
      <c r="B35" s="122" t="n">
        <f aca="false">B30+B27*('4. Assumptions_FY2026'!$D$27-'4. Assumptions_FY2026'!$D$35-'4. Assumptions_FY2026'!$D$36)+'4. Reforecast_FY2026'!$C$38+'4. Reforecast_FY2026'!$C$39+'4. Reforecast_FY2026'!$C$41+'4. Reforecast_FY2026'!$C$43+'4. Reforecast_FY2026'!$C$44+'4. Reforecast_FY2026'!$C$46+B32*'4. Assumptions_FY2026'!$D$33</f>
        <v>11747.81022132</v>
      </c>
      <c r="C35" s="122" t="n">
        <f aca="false">C30+C27*('4. Assumptions_FY2026'!$D$27-'4. Assumptions_FY2026'!$D$35-'4. Assumptions_FY2026'!$D$36)+'4. Reforecast_FY2026'!$C$38+'4. Reforecast_FY2026'!$C$39+'4. Reforecast_FY2026'!$C$41+'4. Reforecast_FY2026'!$C$43+'4. Reforecast_FY2026'!$C$44+'4. Reforecast_FY2026'!$C$46+C32*'4. Assumptions_FY2026'!$D$33</f>
        <v>11393.10407772</v>
      </c>
      <c r="D35" s="122" t="n">
        <f aca="false">D30+D27*('4. Assumptions_FY2026'!$D$27-'4. Assumptions_FY2026'!$D$35-'4. Assumptions_FY2026'!$D$36)+'4. Reforecast_FY2026'!$C$38+'4. Reforecast_FY2026'!$C$39+'4. Reforecast_FY2026'!$C$41+'4. Reforecast_FY2026'!$C$43+'4. Reforecast_FY2026'!$C$44+'4. Reforecast_FY2026'!$C$46+D32*'4. Assumptions_FY2026'!$D$33</f>
        <v>11038.39793412</v>
      </c>
      <c r="E35" s="122" t="n">
        <f aca="false">E30+E27*('4. Assumptions_FY2026'!$D$27-'4. Assumptions_FY2026'!$D$35-'4. Assumptions_FY2026'!$D$36)+'4. Reforecast_FY2026'!$C$38+'4. Reforecast_FY2026'!$C$39+'4. Reforecast_FY2026'!$C$41+'4. Reforecast_FY2026'!$C$43+'4. Reforecast_FY2026'!$C$44+'4. Reforecast_FY2026'!$C$46+E32*'4. Assumptions_FY2026'!$D$33</f>
        <v>10683.69179052</v>
      </c>
      <c r="F35" s="122" t="n">
        <f aca="false">F30+F27*('4. Assumptions_FY2026'!$D$27-'4. Assumptions_FY2026'!$D$35-'4. Assumptions_FY2026'!$D$36)+'4. Reforecast_FY2026'!$C$38+'4. Reforecast_FY2026'!$C$39+'4. Reforecast_FY2026'!$C$41+'4. Reforecast_FY2026'!$C$43+'4. Reforecast_FY2026'!$C$44+'4. Reforecast_FY2026'!$C$46+F32*'4. Assumptions_FY2026'!$D$33</f>
        <v>10328.98564692</v>
      </c>
      <c r="G35" s="122" t="n">
        <f aca="false">G30+G27*('4. Assumptions_FY2026'!$D$27-'4. Assumptions_FY2026'!$D$35-'4. Assumptions_FY2026'!$D$36)+'4. Reforecast_FY2026'!$C$38+'4. Reforecast_FY2026'!$C$39+'4. Reforecast_FY2026'!$C$41+'4. Reforecast_FY2026'!$C$43+'4. Reforecast_FY2026'!$C$44+'4. Reforecast_FY2026'!$C$46+G32*'4. Assumptions_FY2026'!$D$33</f>
        <v>9974.27950331999</v>
      </c>
      <c r="H35" s="122" t="n">
        <f aca="false">H30+H27*('4. Assumptions_FY2026'!$D$27-'4. Assumptions_FY2026'!$D$35-'4. Assumptions_FY2026'!$D$36)+'4. Reforecast_FY2026'!$C$38+'4. Reforecast_FY2026'!$C$39+'4. Reforecast_FY2026'!$C$41+'4. Reforecast_FY2026'!$C$43+'4. Reforecast_FY2026'!$C$44+'4. Reforecast_FY2026'!$C$46+H32*'4. Assumptions_FY2026'!$D$33</f>
        <v>9619.57335971999</v>
      </c>
      <c r="I35" s="113"/>
    </row>
    <row r="36" customFormat="false" ht="15" hidden="false" customHeight="false" outlineLevel="0" collapsed="false">
      <c r="A36" s="137" t="s">
        <v>497</v>
      </c>
      <c r="B36" s="138" t="n">
        <f aca="false">B33-'4. Reforecast_FY2026'!$C$24</f>
        <v>962.770603094997</v>
      </c>
      <c r="C36" s="138" t="n">
        <f aca="false">C33-'4. Reforecast_FY2026'!$C$24</f>
        <v>641.847068729997</v>
      </c>
      <c r="D36" s="138" t="n">
        <f aca="false">D33-'4. Reforecast_FY2026'!$C$24</f>
        <v>320.923534364997</v>
      </c>
      <c r="E36" s="138" t="n">
        <f aca="false">E33-'4. Reforecast_FY2026'!$C$24</f>
        <v>0</v>
      </c>
      <c r="F36" s="138" t="n">
        <f aca="false">F33-'4. Reforecast_FY2026'!$C$24</f>
        <v>-320.923534365003</v>
      </c>
      <c r="G36" s="138" t="n">
        <f aca="false">G33-'4. Reforecast_FY2026'!$C$24</f>
        <v>-641.847068730004</v>
      </c>
      <c r="H36" s="138" t="n">
        <f aca="false">H33-'4. Reforecast_FY2026'!$C$24</f>
        <v>-962.770603095005</v>
      </c>
      <c r="I36" s="113"/>
    </row>
    <row r="37" customFormat="false" ht="15" hidden="false" customHeight="false" outlineLevel="0" collapsed="false">
      <c r="A37" s="110" t="s">
        <v>498</v>
      </c>
      <c r="B37" s="112" t="n">
        <f aca="false">B33/'4. Reforecast_FY2026'!$B$24-1</f>
        <v>0.000898170295083878</v>
      </c>
      <c r="C37" s="112" t="n">
        <f aca="false">C33/'4. Reforecast_FY2026'!$B$24-1</f>
        <v>-0.0346297312177025</v>
      </c>
      <c r="D37" s="112" t="n">
        <f aca="false">D33/'4. Reforecast_FY2026'!$B$24-1</f>
        <v>-0.070157632730489</v>
      </c>
      <c r="E37" s="112" t="n">
        <f aca="false">E33/'4. Reforecast_FY2026'!$B$24-1</f>
        <v>-0.105685534243276</v>
      </c>
      <c r="F37" s="112" t="n">
        <f aca="false">F33/'4. Reforecast_FY2026'!$B$24-1</f>
        <v>-0.141213435756062</v>
      </c>
      <c r="G37" s="112" t="n">
        <f aca="false">G33/'4. Reforecast_FY2026'!$B$24-1</f>
        <v>-0.176741337268848</v>
      </c>
      <c r="H37" s="112" t="n">
        <f aca="false">H33/'4. Reforecast_FY2026'!$B$24-1</f>
        <v>-0.212269238781635</v>
      </c>
      <c r="I37" s="113"/>
    </row>
    <row r="38" customFormat="false" ht="15" hidden="false" customHeight="false" outlineLevel="0" collapsed="false">
      <c r="A38" s="94"/>
      <c r="B38" s="94"/>
      <c r="C38" s="94"/>
      <c r="D38" s="94"/>
      <c r="E38" s="94"/>
      <c r="F38" s="94"/>
      <c r="G38" s="94"/>
      <c r="H38" s="94"/>
      <c r="I38" s="94"/>
    </row>
    <row r="39" customFormat="false" ht="16.5" hidden="false" customHeight="true" outlineLevel="0" collapsed="false">
      <c r="A39" s="108" t="s">
        <v>501</v>
      </c>
      <c r="B39" s="108"/>
      <c r="C39" s="108"/>
      <c r="D39" s="108"/>
      <c r="E39" s="108"/>
      <c r="F39" s="108"/>
      <c r="G39" s="108"/>
      <c r="H39" s="108"/>
      <c r="I39" s="108"/>
      <c r="J39" s="129"/>
      <c r="K39" s="129"/>
      <c r="L39" s="129"/>
    </row>
    <row r="40" customFormat="false" ht="15" hidden="false" customHeight="false" outlineLevel="0" collapsed="false">
      <c r="A40" s="124" t="s">
        <v>502</v>
      </c>
      <c r="B40" s="140" t="n">
        <f aca="false">'4. Assumptions_FY2026'!$D$12-0.015</f>
        <v>0.521</v>
      </c>
      <c r="C40" s="140" t="n">
        <f aca="false">'4. Assumptions_FY2026'!$D$12-0.01</f>
        <v>0.526</v>
      </c>
      <c r="D40" s="140" t="n">
        <f aca="false">'4. Assumptions_FY2026'!$D$12-0.005</f>
        <v>0.531</v>
      </c>
      <c r="E40" s="140" t="n">
        <f aca="false">'4. Assumptions_FY2026'!$D$12+0</f>
        <v>0.536</v>
      </c>
      <c r="F40" s="140" t="n">
        <f aca="false">'4. Assumptions_FY2026'!$D$12+0.005</f>
        <v>0.541</v>
      </c>
      <c r="G40" s="140" t="n">
        <f aca="false">'4. Assumptions_FY2026'!$D$12+0.01</f>
        <v>0.546</v>
      </c>
      <c r="H40" s="140" t="n">
        <f aca="false">'4. Assumptions_FY2026'!$D$12+0.015</f>
        <v>0.551</v>
      </c>
      <c r="I40" s="113"/>
    </row>
    <row r="41" customFormat="false" ht="15" hidden="false" customHeight="false" outlineLevel="0" collapsed="false">
      <c r="A41" s="141" t="n">
        <f aca="false">'4. Assumptions_FY2026'!$D$9-0.04</f>
        <v>-0.07</v>
      </c>
      <c r="B41" s="142" t="n">
        <f aca="false">(('4. Reforecast_FY2026'!$B$5*(1+'4. Assumptions_FY2026'!$D$7+'4. Assumptions_FY2026'!$D$8+$A41)*(1+'4. Assumptions_FY2026'!$D$11-B$40-'4. Assumptions_FY2026'!$D$13-'4. Assumptions_FY2026'!$D$14-'4. Assumptions_FY2026'!$D$15+'4. Assumptions_FY2026'!$D$17+'4. Assumptions_FY2026'!$D$18)+'4. Reforecast_FY2026'!$C$18)*(1-'4. Assumptions_FY2026'!$D$22)+'4. Reforecast_FY2026'!$C$20)*(1-'4. Assumptions_FY2026'!$D$23)</f>
        <v>8674.89029210549</v>
      </c>
      <c r="C41" s="142" t="n">
        <f aca="false">(('4. Reforecast_FY2026'!$B$5*(1+'4. Assumptions_FY2026'!$D$7+'4. Assumptions_FY2026'!$D$8+$A41)*(1+'4. Assumptions_FY2026'!$D$11-C$40-'4. Assumptions_FY2026'!$D$13-'4. Assumptions_FY2026'!$D$14-'4. Assumptions_FY2026'!$D$15+'4. Assumptions_FY2026'!$D$17+'4. Assumptions_FY2026'!$D$18)+'4. Reforecast_FY2026'!$C$18)*(1-'4. Assumptions_FY2026'!$D$22)+'4. Reforecast_FY2026'!$C$20)*(1-'4. Assumptions_FY2026'!$D$23)</f>
        <v>8366.72713684049</v>
      </c>
      <c r="D41" s="142" t="n">
        <f aca="false">(('4. Reforecast_FY2026'!$B$5*(1+'4. Assumptions_FY2026'!$D$7+'4. Assumptions_FY2026'!$D$8+$A41)*(1+'4. Assumptions_FY2026'!$D$11-D$40-'4. Assumptions_FY2026'!$D$13-'4. Assumptions_FY2026'!$D$14-'4. Assumptions_FY2026'!$D$15+'4. Assumptions_FY2026'!$D$17+'4. Assumptions_FY2026'!$D$18)+'4. Reforecast_FY2026'!$C$18)*(1-'4. Assumptions_FY2026'!$D$22)+'4. Reforecast_FY2026'!$C$20)*(1-'4. Assumptions_FY2026'!$D$23)</f>
        <v>8058.56398157549</v>
      </c>
      <c r="E41" s="142" t="n">
        <f aca="false">(('4. Reforecast_FY2026'!$B$5*(1+'4. Assumptions_FY2026'!$D$7+'4. Assumptions_FY2026'!$D$8+$A41)*(1+'4. Assumptions_FY2026'!$D$11-E$40-'4. Assumptions_FY2026'!$D$13-'4. Assumptions_FY2026'!$D$14-'4. Assumptions_FY2026'!$D$15+'4. Assumptions_FY2026'!$D$17+'4. Assumptions_FY2026'!$D$18)+'4. Reforecast_FY2026'!$C$18)*(1-'4. Assumptions_FY2026'!$D$22)+'4. Reforecast_FY2026'!$C$20)*(1-'4. Assumptions_FY2026'!$D$23)</f>
        <v>7750.40082631049</v>
      </c>
      <c r="F41" s="142" t="n">
        <f aca="false">(('4. Reforecast_FY2026'!$B$5*(1+'4. Assumptions_FY2026'!$D$7+'4. Assumptions_FY2026'!$D$8+$A41)*(1+'4. Assumptions_FY2026'!$D$11-F$40-'4. Assumptions_FY2026'!$D$13-'4. Assumptions_FY2026'!$D$14-'4. Assumptions_FY2026'!$D$15+'4. Assumptions_FY2026'!$D$17+'4. Assumptions_FY2026'!$D$18)+'4. Reforecast_FY2026'!$C$18)*(1-'4. Assumptions_FY2026'!$D$22)+'4. Reforecast_FY2026'!$C$20)*(1-'4. Assumptions_FY2026'!$D$23)</f>
        <v>7442.23767104549</v>
      </c>
      <c r="G41" s="142" t="n">
        <f aca="false">(('4. Reforecast_FY2026'!$B$5*(1+'4. Assumptions_FY2026'!$D$7+'4. Assumptions_FY2026'!$D$8+$A41)*(1+'4. Assumptions_FY2026'!$D$11-G$40-'4. Assumptions_FY2026'!$D$13-'4. Assumptions_FY2026'!$D$14-'4. Assumptions_FY2026'!$D$15+'4. Assumptions_FY2026'!$D$17+'4. Assumptions_FY2026'!$D$18)+'4. Reforecast_FY2026'!$C$18)*(1-'4. Assumptions_FY2026'!$D$22)+'4. Reforecast_FY2026'!$C$20)*(1-'4. Assumptions_FY2026'!$D$23)</f>
        <v>7134.07451578049</v>
      </c>
      <c r="H41" s="142" t="n">
        <f aca="false">(('4. Reforecast_FY2026'!$B$5*(1+'4. Assumptions_FY2026'!$D$7+'4. Assumptions_FY2026'!$D$8+$A41)*(1+'4. Assumptions_FY2026'!$D$11-H$40-'4. Assumptions_FY2026'!$D$13-'4. Assumptions_FY2026'!$D$14-'4. Assumptions_FY2026'!$D$15+'4. Assumptions_FY2026'!$D$17+'4. Assumptions_FY2026'!$D$18)+'4. Reforecast_FY2026'!$C$18)*(1-'4. Assumptions_FY2026'!$D$22)+'4. Reforecast_FY2026'!$C$20)*(1-'4. Assumptions_FY2026'!$D$23)</f>
        <v>6825.91136051549</v>
      </c>
      <c r="I41" s="113"/>
    </row>
    <row r="42" customFormat="false" ht="15" hidden="false" customHeight="false" outlineLevel="0" collapsed="false">
      <c r="A42" s="141" t="n">
        <f aca="false">'4. Assumptions_FY2026'!$D$9-0.03</f>
        <v>-0.06</v>
      </c>
      <c r="B42" s="142" t="n">
        <f aca="false">(('4. Reforecast_FY2026'!$B$5*(1+'4. Assumptions_FY2026'!$D$7+'4. Assumptions_FY2026'!$D$8+$A42)*(1+'4. Assumptions_FY2026'!$D$11-B$40-'4. Assumptions_FY2026'!$D$13-'4. Assumptions_FY2026'!$D$14-'4. Assumptions_FY2026'!$D$15+'4. Assumptions_FY2026'!$D$17+'4. Assumptions_FY2026'!$D$18)+'4. Reforecast_FY2026'!$C$18)*(1-'4. Assumptions_FY2026'!$D$22)+'4. Reforecast_FY2026'!$C$20)*(1-'4. Assumptions_FY2026'!$D$23)</f>
        <v>8766.44601214799</v>
      </c>
      <c r="C42" s="142" t="n">
        <f aca="false">(('4. Reforecast_FY2026'!$B$5*(1+'4. Assumptions_FY2026'!$D$7+'4. Assumptions_FY2026'!$D$8+$A42)*(1+'4. Assumptions_FY2026'!$D$11-C$40-'4. Assumptions_FY2026'!$D$13-'4. Assumptions_FY2026'!$D$14-'4. Assumptions_FY2026'!$D$15+'4. Assumptions_FY2026'!$D$17+'4. Assumptions_FY2026'!$D$18)+'4. Reforecast_FY2026'!$C$18)*(1-'4. Assumptions_FY2026'!$D$22)+'4. Reforecast_FY2026'!$C$20)*(1-'4. Assumptions_FY2026'!$D$23)</f>
        <v>8455.09276210799</v>
      </c>
      <c r="D42" s="142" t="n">
        <f aca="false">(('4. Reforecast_FY2026'!$B$5*(1+'4. Assumptions_FY2026'!$D$7+'4. Assumptions_FY2026'!$D$8+$A42)*(1+'4. Assumptions_FY2026'!$D$11-D$40-'4. Assumptions_FY2026'!$D$13-'4. Assumptions_FY2026'!$D$14-'4. Assumptions_FY2026'!$D$15+'4. Assumptions_FY2026'!$D$17+'4. Assumptions_FY2026'!$D$18)+'4. Reforecast_FY2026'!$C$18)*(1-'4. Assumptions_FY2026'!$D$22)+'4. Reforecast_FY2026'!$C$20)*(1-'4. Assumptions_FY2026'!$D$23)</f>
        <v>8143.73951206799</v>
      </c>
      <c r="E42" s="142" t="n">
        <f aca="false">(('4. Reforecast_FY2026'!$B$5*(1+'4. Assumptions_FY2026'!$D$7+'4. Assumptions_FY2026'!$D$8+$A42)*(1+'4. Assumptions_FY2026'!$D$11-E$40-'4. Assumptions_FY2026'!$D$13-'4. Assumptions_FY2026'!$D$14-'4. Assumptions_FY2026'!$D$15+'4. Assumptions_FY2026'!$D$17+'4. Assumptions_FY2026'!$D$18)+'4. Reforecast_FY2026'!$C$18)*(1-'4. Assumptions_FY2026'!$D$22)+'4. Reforecast_FY2026'!$C$20)*(1-'4. Assumptions_FY2026'!$D$23)</f>
        <v>7832.38626202799</v>
      </c>
      <c r="F42" s="142" t="n">
        <f aca="false">(('4. Reforecast_FY2026'!$B$5*(1+'4. Assumptions_FY2026'!$D$7+'4. Assumptions_FY2026'!$D$8+$A42)*(1+'4. Assumptions_FY2026'!$D$11-F$40-'4. Assumptions_FY2026'!$D$13-'4. Assumptions_FY2026'!$D$14-'4. Assumptions_FY2026'!$D$15+'4. Assumptions_FY2026'!$D$17+'4. Assumptions_FY2026'!$D$18)+'4. Reforecast_FY2026'!$C$18)*(1-'4. Assumptions_FY2026'!$D$22)+'4. Reforecast_FY2026'!$C$20)*(1-'4. Assumptions_FY2026'!$D$23)</f>
        <v>7521.03301198799</v>
      </c>
      <c r="G42" s="142" t="n">
        <f aca="false">(('4. Reforecast_FY2026'!$B$5*(1+'4. Assumptions_FY2026'!$D$7+'4. Assumptions_FY2026'!$D$8+$A42)*(1+'4. Assumptions_FY2026'!$D$11-G$40-'4. Assumptions_FY2026'!$D$13-'4. Assumptions_FY2026'!$D$14-'4. Assumptions_FY2026'!$D$15+'4. Assumptions_FY2026'!$D$17+'4. Assumptions_FY2026'!$D$18)+'4. Reforecast_FY2026'!$C$18)*(1-'4. Assumptions_FY2026'!$D$22)+'4. Reforecast_FY2026'!$C$20)*(1-'4. Assumptions_FY2026'!$D$23)</f>
        <v>7209.67976194799</v>
      </c>
      <c r="H42" s="142" t="n">
        <f aca="false">(('4. Reforecast_FY2026'!$B$5*(1+'4. Assumptions_FY2026'!$D$7+'4. Assumptions_FY2026'!$D$8+$A42)*(1+'4. Assumptions_FY2026'!$D$11-H$40-'4. Assumptions_FY2026'!$D$13-'4. Assumptions_FY2026'!$D$14-'4. Assumptions_FY2026'!$D$15+'4. Assumptions_FY2026'!$D$17+'4. Assumptions_FY2026'!$D$18)+'4. Reforecast_FY2026'!$C$18)*(1-'4. Assumptions_FY2026'!$D$22)+'4. Reforecast_FY2026'!$C$20)*(1-'4. Assumptions_FY2026'!$D$23)</f>
        <v>6898.32651190799</v>
      </c>
      <c r="I42" s="113"/>
    </row>
    <row r="43" customFormat="false" ht="15" hidden="false" customHeight="false" outlineLevel="0" collapsed="false">
      <c r="A43" s="141" t="n">
        <f aca="false">'4. Assumptions_FY2026'!$D$9-0.02</f>
        <v>-0.05</v>
      </c>
      <c r="B43" s="142" t="n">
        <f aca="false">(('4. Reforecast_FY2026'!$B$5*(1+'4. Assumptions_FY2026'!$D$7+'4. Assumptions_FY2026'!$D$8+$A43)*(1+'4. Assumptions_FY2026'!$D$11-B$40-'4. Assumptions_FY2026'!$D$13-'4. Assumptions_FY2026'!$D$14-'4. Assumptions_FY2026'!$D$15+'4. Assumptions_FY2026'!$D$17+'4. Assumptions_FY2026'!$D$18)+'4. Reforecast_FY2026'!$C$18)*(1-'4. Assumptions_FY2026'!$D$22)+'4. Reforecast_FY2026'!$C$20)*(1-'4. Assumptions_FY2026'!$D$23)</f>
        <v>8858.00173219049</v>
      </c>
      <c r="C43" s="142" t="n">
        <f aca="false">(('4. Reforecast_FY2026'!$B$5*(1+'4. Assumptions_FY2026'!$D$7+'4. Assumptions_FY2026'!$D$8+$A43)*(1+'4. Assumptions_FY2026'!$D$11-C$40-'4. Assumptions_FY2026'!$D$13-'4. Assumptions_FY2026'!$D$14-'4. Assumptions_FY2026'!$D$15+'4. Assumptions_FY2026'!$D$17+'4. Assumptions_FY2026'!$D$18)+'4. Reforecast_FY2026'!$C$18)*(1-'4. Assumptions_FY2026'!$D$22)+'4. Reforecast_FY2026'!$C$20)*(1-'4. Assumptions_FY2026'!$D$23)</f>
        <v>8543.45838737549</v>
      </c>
      <c r="D43" s="142" t="n">
        <f aca="false">(('4. Reforecast_FY2026'!$B$5*(1+'4. Assumptions_FY2026'!$D$7+'4. Assumptions_FY2026'!$D$8+$A43)*(1+'4. Assumptions_FY2026'!$D$11-D$40-'4. Assumptions_FY2026'!$D$13-'4. Assumptions_FY2026'!$D$14-'4. Assumptions_FY2026'!$D$15+'4. Assumptions_FY2026'!$D$17+'4. Assumptions_FY2026'!$D$18)+'4. Reforecast_FY2026'!$C$18)*(1-'4. Assumptions_FY2026'!$D$22)+'4. Reforecast_FY2026'!$C$20)*(1-'4. Assumptions_FY2026'!$D$23)</f>
        <v>8228.91504256049</v>
      </c>
      <c r="E43" s="142" t="n">
        <f aca="false">(('4. Reforecast_FY2026'!$B$5*(1+'4. Assumptions_FY2026'!$D$7+'4. Assumptions_FY2026'!$D$8+$A43)*(1+'4. Assumptions_FY2026'!$D$11-E$40-'4. Assumptions_FY2026'!$D$13-'4. Assumptions_FY2026'!$D$14-'4. Assumptions_FY2026'!$D$15+'4. Assumptions_FY2026'!$D$17+'4. Assumptions_FY2026'!$D$18)+'4. Reforecast_FY2026'!$C$18)*(1-'4. Assumptions_FY2026'!$D$22)+'4. Reforecast_FY2026'!$C$20)*(1-'4. Assumptions_FY2026'!$D$23)</f>
        <v>7914.37169774549</v>
      </c>
      <c r="F43" s="142" t="n">
        <f aca="false">(('4. Reforecast_FY2026'!$B$5*(1+'4. Assumptions_FY2026'!$D$7+'4. Assumptions_FY2026'!$D$8+$A43)*(1+'4. Assumptions_FY2026'!$D$11-F$40-'4. Assumptions_FY2026'!$D$13-'4. Assumptions_FY2026'!$D$14-'4. Assumptions_FY2026'!$D$15+'4. Assumptions_FY2026'!$D$17+'4. Assumptions_FY2026'!$D$18)+'4. Reforecast_FY2026'!$C$18)*(1-'4. Assumptions_FY2026'!$D$22)+'4. Reforecast_FY2026'!$C$20)*(1-'4. Assumptions_FY2026'!$D$23)</f>
        <v>7599.82835293049</v>
      </c>
      <c r="G43" s="142" t="n">
        <f aca="false">(('4. Reforecast_FY2026'!$B$5*(1+'4. Assumptions_FY2026'!$D$7+'4. Assumptions_FY2026'!$D$8+$A43)*(1+'4. Assumptions_FY2026'!$D$11-G$40-'4. Assumptions_FY2026'!$D$13-'4. Assumptions_FY2026'!$D$14-'4. Assumptions_FY2026'!$D$15+'4. Assumptions_FY2026'!$D$17+'4. Assumptions_FY2026'!$D$18)+'4. Reforecast_FY2026'!$C$18)*(1-'4. Assumptions_FY2026'!$D$22)+'4. Reforecast_FY2026'!$C$20)*(1-'4. Assumptions_FY2026'!$D$23)</f>
        <v>7285.28500811549</v>
      </c>
      <c r="H43" s="142" t="n">
        <f aca="false">(('4. Reforecast_FY2026'!$B$5*(1+'4. Assumptions_FY2026'!$D$7+'4. Assumptions_FY2026'!$D$8+$A43)*(1+'4. Assumptions_FY2026'!$D$11-H$40-'4. Assumptions_FY2026'!$D$13-'4. Assumptions_FY2026'!$D$14-'4. Assumptions_FY2026'!$D$15+'4. Assumptions_FY2026'!$D$17+'4. Assumptions_FY2026'!$D$18)+'4. Reforecast_FY2026'!$C$18)*(1-'4. Assumptions_FY2026'!$D$22)+'4. Reforecast_FY2026'!$C$20)*(1-'4. Assumptions_FY2026'!$D$23)</f>
        <v>6970.74166330049</v>
      </c>
      <c r="I43" s="113"/>
    </row>
    <row r="44" customFormat="false" ht="15" hidden="false" customHeight="false" outlineLevel="0" collapsed="false">
      <c r="A44" s="141" t="n">
        <f aca="false">'4. Assumptions_FY2026'!$D$9-0.01</f>
        <v>-0.04</v>
      </c>
      <c r="B44" s="142" t="n">
        <f aca="false">(('4. Reforecast_FY2026'!$B$5*(1+'4. Assumptions_FY2026'!$D$7+'4. Assumptions_FY2026'!$D$8+$A44)*(1+'4. Assumptions_FY2026'!$D$11-B$40-'4. Assumptions_FY2026'!$D$13-'4. Assumptions_FY2026'!$D$14-'4. Assumptions_FY2026'!$D$15+'4. Assumptions_FY2026'!$D$17+'4. Assumptions_FY2026'!$D$18)+'4. Reforecast_FY2026'!$C$18)*(1-'4. Assumptions_FY2026'!$D$22)+'4. Reforecast_FY2026'!$C$20)*(1-'4. Assumptions_FY2026'!$D$23)</f>
        <v>8949.55745223299</v>
      </c>
      <c r="C44" s="142" t="n">
        <f aca="false">(('4. Reforecast_FY2026'!$B$5*(1+'4. Assumptions_FY2026'!$D$7+'4. Assumptions_FY2026'!$D$8+$A44)*(1+'4. Assumptions_FY2026'!$D$11-C$40-'4. Assumptions_FY2026'!$D$13-'4. Assumptions_FY2026'!$D$14-'4. Assumptions_FY2026'!$D$15+'4. Assumptions_FY2026'!$D$17+'4. Assumptions_FY2026'!$D$18)+'4. Reforecast_FY2026'!$C$18)*(1-'4. Assumptions_FY2026'!$D$22)+'4. Reforecast_FY2026'!$C$20)*(1-'4. Assumptions_FY2026'!$D$23)</f>
        <v>8631.82401264299</v>
      </c>
      <c r="D44" s="142" t="n">
        <f aca="false">(('4. Reforecast_FY2026'!$B$5*(1+'4. Assumptions_FY2026'!$D$7+'4. Assumptions_FY2026'!$D$8+$A44)*(1+'4. Assumptions_FY2026'!$D$11-D$40-'4. Assumptions_FY2026'!$D$13-'4. Assumptions_FY2026'!$D$14-'4. Assumptions_FY2026'!$D$15+'4. Assumptions_FY2026'!$D$17+'4. Assumptions_FY2026'!$D$18)+'4. Reforecast_FY2026'!$C$18)*(1-'4. Assumptions_FY2026'!$D$22)+'4. Reforecast_FY2026'!$C$20)*(1-'4. Assumptions_FY2026'!$D$23)</f>
        <v>8314.09057305299</v>
      </c>
      <c r="E44" s="142" t="n">
        <f aca="false">(('4. Reforecast_FY2026'!$B$5*(1+'4. Assumptions_FY2026'!$D$7+'4. Assumptions_FY2026'!$D$8+$A44)*(1+'4. Assumptions_FY2026'!$D$11-E$40-'4. Assumptions_FY2026'!$D$13-'4. Assumptions_FY2026'!$D$14-'4. Assumptions_FY2026'!$D$15+'4. Assumptions_FY2026'!$D$17+'4. Assumptions_FY2026'!$D$18)+'4. Reforecast_FY2026'!$C$18)*(1-'4. Assumptions_FY2026'!$D$22)+'4. Reforecast_FY2026'!$C$20)*(1-'4. Assumptions_FY2026'!$D$23)</f>
        <v>7996.35713346299</v>
      </c>
      <c r="F44" s="142" t="n">
        <f aca="false">(('4. Reforecast_FY2026'!$B$5*(1+'4. Assumptions_FY2026'!$D$7+'4. Assumptions_FY2026'!$D$8+$A44)*(1+'4. Assumptions_FY2026'!$D$11-F$40-'4. Assumptions_FY2026'!$D$13-'4. Assumptions_FY2026'!$D$14-'4. Assumptions_FY2026'!$D$15+'4. Assumptions_FY2026'!$D$17+'4. Assumptions_FY2026'!$D$18)+'4. Reforecast_FY2026'!$C$18)*(1-'4. Assumptions_FY2026'!$D$22)+'4. Reforecast_FY2026'!$C$20)*(1-'4. Assumptions_FY2026'!$D$23)</f>
        <v>7678.62369387299</v>
      </c>
      <c r="G44" s="142" t="n">
        <f aca="false">(('4. Reforecast_FY2026'!$B$5*(1+'4. Assumptions_FY2026'!$D$7+'4. Assumptions_FY2026'!$D$8+$A44)*(1+'4. Assumptions_FY2026'!$D$11-G$40-'4. Assumptions_FY2026'!$D$13-'4. Assumptions_FY2026'!$D$14-'4. Assumptions_FY2026'!$D$15+'4. Assumptions_FY2026'!$D$17+'4. Assumptions_FY2026'!$D$18)+'4. Reforecast_FY2026'!$C$18)*(1-'4. Assumptions_FY2026'!$D$22)+'4. Reforecast_FY2026'!$C$20)*(1-'4. Assumptions_FY2026'!$D$23)</f>
        <v>7360.89025428299</v>
      </c>
      <c r="H44" s="142" t="n">
        <f aca="false">(('4. Reforecast_FY2026'!$B$5*(1+'4. Assumptions_FY2026'!$D$7+'4. Assumptions_FY2026'!$D$8+$A44)*(1+'4. Assumptions_FY2026'!$D$11-H$40-'4. Assumptions_FY2026'!$D$13-'4. Assumptions_FY2026'!$D$14-'4. Assumptions_FY2026'!$D$15+'4. Assumptions_FY2026'!$D$17+'4. Assumptions_FY2026'!$D$18)+'4. Reforecast_FY2026'!$C$18)*(1-'4. Assumptions_FY2026'!$D$22)+'4. Reforecast_FY2026'!$C$20)*(1-'4. Assumptions_FY2026'!$D$23)</f>
        <v>7043.15681469299</v>
      </c>
      <c r="I44" s="113"/>
    </row>
    <row r="45" customFormat="false" ht="15" hidden="false" customHeight="false" outlineLevel="0" collapsed="false">
      <c r="A45" s="141" t="n">
        <f aca="false">'4. Assumptions_FY2026'!$D$9+0</f>
        <v>-0.03</v>
      </c>
      <c r="B45" s="142" t="n">
        <f aca="false">(('4. Reforecast_FY2026'!$B$5*(1+'4. Assumptions_FY2026'!$D$7+'4. Assumptions_FY2026'!$D$8+$A45)*(1+'4. Assumptions_FY2026'!$D$11-B$40-'4. Assumptions_FY2026'!$D$13-'4. Assumptions_FY2026'!$D$14-'4. Assumptions_FY2026'!$D$15+'4. Assumptions_FY2026'!$D$17+'4. Assumptions_FY2026'!$D$18)+'4. Reforecast_FY2026'!$C$18)*(1-'4. Assumptions_FY2026'!$D$22)+'4. Reforecast_FY2026'!$C$20)*(1-'4. Assumptions_FY2026'!$D$23)</f>
        <v>9041.11317227549</v>
      </c>
      <c r="C45" s="142" t="n">
        <f aca="false">(('4. Reforecast_FY2026'!$B$5*(1+'4. Assumptions_FY2026'!$D$7+'4. Assumptions_FY2026'!$D$8+$A45)*(1+'4. Assumptions_FY2026'!$D$11-C$40-'4. Assumptions_FY2026'!$D$13-'4. Assumptions_FY2026'!$D$14-'4. Assumptions_FY2026'!$D$15+'4. Assumptions_FY2026'!$D$17+'4. Assumptions_FY2026'!$D$18)+'4. Reforecast_FY2026'!$C$18)*(1-'4. Assumptions_FY2026'!$D$22)+'4. Reforecast_FY2026'!$C$20)*(1-'4. Assumptions_FY2026'!$D$23)</f>
        <v>8720.18963791049</v>
      </c>
      <c r="D45" s="142" t="n">
        <f aca="false">(('4. Reforecast_FY2026'!$B$5*(1+'4. Assumptions_FY2026'!$D$7+'4. Assumptions_FY2026'!$D$8+$A45)*(1+'4. Assumptions_FY2026'!$D$11-D$40-'4. Assumptions_FY2026'!$D$13-'4. Assumptions_FY2026'!$D$14-'4. Assumptions_FY2026'!$D$15+'4. Assumptions_FY2026'!$D$17+'4. Assumptions_FY2026'!$D$18)+'4. Reforecast_FY2026'!$C$18)*(1-'4. Assumptions_FY2026'!$D$22)+'4. Reforecast_FY2026'!$C$20)*(1-'4. Assumptions_FY2026'!$D$23)</f>
        <v>8399.26610354549</v>
      </c>
      <c r="E45" s="142" t="n">
        <f aca="false">(('4. Reforecast_FY2026'!$B$5*(1+'4. Assumptions_FY2026'!$D$7+'4. Assumptions_FY2026'!$D$8+$A45)*(1+'4. Assumptions_FY2026'!$D$11-E$40-'4. Assumptions_FY2026'!$D$13-'4. Assumptions_FY2026'!$D$14-'4. Assumptions_FY2026'!$D$15+'4. Assumptions_FY2026'!$D$17+'4. Assumptions_FY2026'!$D$18)+'4. Reforecast_FY2026'!$C$18)*(1-'4. Assumptions_FY2026'!$D$22)+'4. Reforecast_FY2026'!$C$20)*(1-'4. Assumptions_FY2026'!$D$23)</f>
        <v>8078.34256918049</v>
      </c>
      <c r="F45" s="142" t="n">
        <f aca="false">(('4. Reforecast_FY2026'!$B$5*(1+'4. Assumptions_FY2026'!$D$7+'4. Assumptions_FY2026'!$D$8+$A45)*(1+'4. Assumptions_FY2026'!$D$11-F$40-'4. Assumptions_FY2026'!$D$13-'4. Assumptions_FY2026'!$D$14-'4. Assumptions_FY2026'!$D$15+'4. Assumptions_FY2026'!$D$17+'4. Assumptions_FY2026'!$D$18)+'4. Reforecast_FY2026'!$C$18)*(1-'4. Assumptions_FY2026'!$D$22)+'4. Reforecast_FY2026'!$C$20)*(1-'4. Assumptions_FY2026'!$D$23)</f>
        <v>7757.41903481549</v>
      </c>
      <c r="G45" s="142" t="n">
        <f aca="false">(('4. Reforecast_FY2026'!$B$5*(1+'4. Assumptions_FY2026'!$D$7+'4. Assumptions_FY2026'!$D$8+$A45)*(1+'4. Assumptions_FY2026'!$D$11-G$40-'4. Assumptions_FY2026'!$D$13-'4. Assumptions_FY2026'!$D$14-'4. Assumptions_FY2026'!$D$15+'4. Assumptions_FY2026'!$D$17+'4. Assumptions_FY2026'!$D$18)+'4. Reforecast_FY2026'!$C$18)*(1-'4. Assumptions_FY2026'!$D$22)+'4. Reforecast_FY2026'!$C$20)*(1-'4. Assumptions_FY2026'!$D$23)</f>
        <v>7436.49550045049</v>
      </c>
      <c r="H45" s="142" t="n">
        <f aca="false">(('4. Reforecast_FY2026'!$B$5*(1+'4. Assumptions_FY2026'!$D$7+'4. Assumptions_FY2026'!$D$8+$A45)*(1+'4. Assumptions_FY2026'!$D$11-H$40-'4. Assumptions_FY2026'!$D$13-'4. Assumptions_FY2026'!$D$14-'4. Assumptions_FY2026'!$D$15+'4. Assumptions_FY2026'!$D$17+'4. Assumptions_FY2026'!$D$18)+'4. Reforecast_FY2026'!$C$18)*(1-'4. Assumptions_FY2026'!$D$22)+'4. Reforecast_FY2026'!$C$20)*(1-'4. Assumptions_FY2026'!$D$23)</f>
        <v>7115.57196608549</v>
      </c>
      <c r="I45" s="113"/>
    </row>
    <row r="46" customFormat="false" ht="15" hidden="false" customHeight="false" outlineLevel="0" collapsed="false">
      <c r="A46" s="141" t="n">
        <f aca="false">'4. Assumptions_FY2026'!$D$9+0.01</f>
        <v>-0.02</v>
      </c>
      <c r="B46" s="142" t="n">
        <f aca="false">(('4. Reforecast_FY2026'!$B$5*(1+'4. Assumptions_FY2026'!$D$7+'4. Assumptions_FY2026'!$D$8+$A46)*(1+'4. Assumptions_FY2026'!$D$11-B$40-'4. Assumptions_FY2026'!$D$13-'4. Assumptions_FY2026'!$D$14-'4. Assumptions_FY2026'!$D$15+'4. Assumptions_FY2026'!$D$17+'4. Assumptions_FY2026'!$D$18)+'4. Reforecast_FY2026'!$C$18)*(1-'4. Assumptions_FY2026'!$D$22)+'4. Reforecast_FY2026'!$C$20)*(1-'4. Assumptions_FY2026'!$D$23)</f>
        <v>9132.66889231799</v>
      </c>
      <c r="C46" s="142" t="n">
        <f aca="false">(('4. Reforecast_FY2026'!$B$5*(1+'4. Assumptions_FY2026'!$D$7+'4. Assumptions_FY2026'!$D$8+$A46)*(1+'4. Assumptions_FY2026'!$D$11-C$40-'4. Assumptions_FY2026'!$D$13-'4. Assumptions_FY2026'!$D$14-'4. Assumptions_FY2026'!$D$15+'4. Assumptions_FY2026'!$D$17+'4. Assumptions_FY2026'!$D$18)+'4. Reforecast_FY2026'!$C$18)*(1-'4. Assumptions_FY2026'!$D$22)+'4. Reforecast_FY2026'!$C$20)*(1-'4. Assumptions_FY2026'!$D$23)</f>
        <v>8808.55526317799</v>
      </c>
      <c r="D46" s="142" t="n">
        <f aca="false">(('4. Reforecast_FY2026'!$B$5*(1+'4. Assumptions_FY2026'!$D$7+'4. Assumptions_FY2026'!$D$8+$A46)*(1+'4. Assumptions_FY2026'!$D$11-D$40-'4. Assumptions_FY2026'!$D$13-'4. Assumptions_FY2026'!$D$14-'4. Assumptions_FY2026'!$D$15+'4. Assumptions_FY2026'!$D$17+'4. Assumptions_FY2026'!$D$18)+'4. Reforecast_FY2026'!$C$18)*(1-'4. Assumptions_FY2026'!$D$22)+'4. Reforecast_FY2026'!$C$20)*(1-'4. Assumptions_FY2026'!$D$23)</f>
        <v>8484.44163403799</v>
      </c>
      <c r="E46" s="142" t="n">
        <f aca="false">(('4. Reforecast_FY2026'!$B$5*(1+'4. Assumptions_FY2026'!$D$7+'4. Assumptions_FY2026'!$D$8+$A46)*(1+'4. Assumptions_FY2026'!$D$11-E$40-'4. Assumptions_FY2026'!$D$13-'4. Assumptions_FY2026'!$D$14-'4. Assumptions_FY2026'!$D$15+'4. Assumptions_FY2026'!$D$17+'4. Assumptions_FY2026'!$D$18)+'4. Reforecast_FY2026'!$C$18)*(1-'4. Assumptions_FY2026'!$D$22)+'4. Reforecast_FY2026'!$C$20)*(1-'4. Assumptions_FY2026'!$D$23)</f>
        <v>8160.32800489799</v>
      </c>
      <c r="F46" s="142" t="n">
        <f aca="false">(('4. Reforecast_FY2026'!$B$5*(1+'4. Assumptions_FY2026'!$D$7+'4. Assumptions_FY2026'!$D$8+$A46)*(1+'4. Assumptions_FY2026'!$D$11-F$40-'4. Assumptions_FY2026'!$D$13-'4. Assumptions_FY2026'!$D$14-'4. Assumptions_FY2026'!$D$15+'4. Assumptions_FY2026'!$D$17+'4. Assumptions_FY2026'!$D$18)+'4. Reforecast_FY2026'!$C$18)*(1-'4. Assumptions_FY2026'!$D$22)+'4. Reforecast_FY2026'!$C$20)*(1-'4. Assumptions_FY2026'!$D$23)</f>
        <v>7836.21437575799</v>
      </c>
      <c r="G46" s="142" t="n">
        <f aca="false">(('4. Reforecast_FY2026'!$B$5*(1+'4. Assumptions_FY2026'!$D$7+'4. Assumptions_FY2026'!$D$8+$A46)*(1+'4. Assumptions_FY2026'!$D$11-G$40-'4. Assumptions_FY2026'!$D$13-'4. Assumptions_FY2026'!$D$14-'4. Assumptions_FY2026'!$D$15+'4. Assumptions_FY2026'!$D$17+'4. Assumptions_FY2026'!$D$18)+'4. Reforecast_FY2026'!$C$18)*(1-'4. Assumptions_FY2026'!$D$22)+'4. Reforecast_FY2026'!$C$20)*(1-'4. Assumptions_FY2026'!$D$23)</f>
        <v>7512.10074661799</v>
      </c>
      <c r="H46" s="142" t="n">
        <f aca="false">(('4. Reforecast_FY2026'!$B$5*(1+'4. Assumptions_FY2026'!$D$7+'4. Assumptions_FY2026'!$D$8+$A46)*(1+'4. Assumptions_FY2026'!$D$11-H$40-'4. Assumptions_FY2026'!$D$13-'4. Assumptions_FY2026'!$D$14-'4. Assumptions_FY2026'!$D$15+'4. Assumptions_FY2026'!$D$17+'4. Assumptions_FY2026'!$D$18)+'4. Reforecast_FY2026'!$C$18)*(1-'4. Assumptions_FY2026'!$D$22)+'4. Reforecast_FY2026'!$C$20)*(1-'4. Assumptions_FY2026'!$D$23)</f>
        <v>7187.98711747799</v>
      </c>
      <c r="I46" s="113"/>
    </row>
    <row r="47" customFormat="false" ht="15" hidden="false" customHeight="false" outlineLevel="0" collapsed="false">
      <c r="A47" s="141" t="n">
        <f aca="false">'4. Assumptions_FY2026'!$D$9+0.02</f>
        <v>-0.01</v>
      </c>
      <c r="B47" s="142" t="n">
        <f aca="false">(('4. Reforecast_FY2026'!$B$5*(1+'4. Assumptions_FY2026'!$D$7+'4. Assumptions_FY2026'!$D$8+$A47)*(1+'4. Assumptions_FY2026'!$D$11-B$40-'4. Assumptions_FY2026'!$D$13-'4. Assumptions_FY2026'!$D$14-'4. Assumptions_FY2026'!$D$15+'4. Assumptions_FY2026'!$D$17+'4. Assumptions_FY2026'!$D$18)+'4. Reforecast_FY2026'!$C$18)*(1-'4. Assumptions_FY2026'!$D$22)+'4. Reforecast_FY2026'!$C$20)*(1-'4. Assumptions_FY2026'!$D$23)</f>
        <v>9224.22461236049</v>
      </c>
      <c r="C47" s="142" t="n">
        <f aca="false">(('4. Reforecast_FY2026'!$B$5*(1+'4. Assumptions_FY2026'!$D$7+'4. Assumptions_FY2026'!$D$8+$A47)*(1+'4. Assumptions_FY2026'!$D$11-C$40-'4. Assumptions_FY2026'!$D$13-'4. Assumptions_FY2026'!$D$14-'4. Assumptions_FY2026'!$D$15+'4. Assumptions_FY2026'!$D$17+'4. Assumptions_FY2026'!$D$18)+'4. Reforecast_FY2026'!$C$18)*(1-'4. Assumptions_FY2026'!$D$22)+'4. Reforecast_FY2026'!$C$20)*(1-'4. Assumptions_FY2026'!$D$23)</f>
        <v>8896.92088844549</v>
      </c>
      <c r="D47" s="142" t="n">
        <f aca="false">(('4. Reforecast_FY2026'!$B$5*(1+'4. Assumptions_FY2026'!$D$7+'4. Assumptions_FY2026'!$D$8+$A47)*(1+'4. Assumptions_FY2026'!$D$11-D$40-'4. Assumptions_FY2026'!$D$13-'4. Assumptions_FY2026'!$D$14-'4. Assumptions_FY2026'!$D$15+'4. Assumptions_FY2026'!$D$17+'4. Assumptions_FY2026'!$D$18)+'4. Reforecast_FY2026'!$C$18)*(1-'4. Assumptions_FY2026'!$D$22)+'4. Reforecast_FY2026'!$C$20)*(1-'4. Assumptions_FY2026'!$D$23)</f>
        <v>8569.61716453049</v>
      </c>
      <c r="E47" s="142" t="n">
        <f aca="false">(('4. Reforecast_FY2026'!$B$5*(1+'4. Assumptions_FY2026'!$D$7+'4. Assumptions_FY2026'!$D$8+$A47)*(1+'4. Assumptions_FY2026'!$D$11-E$40-'4. Assumptions_FY2026'!$D$13-'4. Assumptions_FY2026'!$D$14-'4. Assumptions_FY2026'!$D$15+'4. Assumptions_FY2026'!$D$17+'4. Assumptions_FY2026'!$D$18)+'4. Reforecast_FY2026'!$C$18)*(1-'4. Assumptions_FY2026'!$D$22)+'4. Reforecast_FY2026'!$C$20)*(1-'4. Assumptions_FY2026'!$D$23)</f>
        <v>8242.31344061549</v>
      </c>
      <c r="F47" s="142" t="n">
        <f aca="false">(('4. Reforecast_FY2026'!$B$5*(1+'4. Assumptions_FY2026'!$D$7+'4. Assumptions_FY2026'!$D$8+$A47)*(1+'4. Assumptions_FY2026'!$D$11-F$40-'4. Assumptions_FY2026'!$D$13-'4. Assumptions_FY2026'!$D$14-'4. Assumptions_FY2026'!$D$15+'4. Assumptions_FY2026'!$D$17+'4. Assumptions_FY2026'!$D$18)+'4. Reforecast_FY2026'!$C$18)*(1-'4. Assumptions_FY2026'!$D$22)+'4. Reforecast_FY2026'!$C$20)*(1-'4. Assumptions_FY2026'!$D$23)</f>
        <v>7915.00971670049</v>
      </c>
      <c r="G47" s="142" t="n">
        <f aca="false">(('4. Reforecast_FY2026'!$B$5*(1+'4. Assumptions_FY2026'!$D$7+'4. Assumptions_FY2026'!$D$8+$A47)*(1+'4. Assumptions_FY2026'!$D$11-G$40-'4. Assumptions_FY2026'!$D$13-'4. Assumptions_FY2026'!$D$14-'4. Assumptions_FY2026'!$D$15+'4. Assumptions_FY2026'!$D$17+'4. Assumptions_FY2026'!$D$18)+'4. Reforecast_FY2026'!$C$18)*(1-'4. Assumptions_FY2026'!$D$22)+'4. Reforecast_FY2026'!$C$20)*(1-'4. Assumptions_FY2026'!$D$23)</f>
        <v>7587.70599278549</v>
      </c>
      <c r="H47" s="142" t="n">
        <f aca="false">(('4. Reforecast_FY2026'!$B$5*(1+'4. Assumptions_FY2026'!$D$7+'4. Assumptions_FY2026'!$D$8+$A47)*(1+'4. Assumptions_FY2026'!$D$11-H$40-'4. Assumptions_FY2026'!$D$13-'4. Assumptions_FY2026'!$D$14-'4. Assumptions_FY2026'!$D$15+'4. Assumptions_FY2026'!$D$17+'4. Assumptions_FY2026'!$D$18)+'4. Reforecast_FY2026'!$C$18)*(1-'4. Assumptions_FY2026'!$D$22)+'4. Reforecast_FY2026'!$C$20)*(1-'4. Assumptions_FY2026'!$D$23)</f>
        <v>7260.40226887049</v>
      </c>
      <c r="I47" s="113"/>
    </row>
    <row r="48" customFormat="false" ht="15" hidden="false" customHeight="false" outlineLevel="0" collapsed="false">
      <c r="A48" s="141" t="n">
        <f aca="false">'4. Assumptions_FY2026'!$D$9+0.03</f>
        <v>0</v>
      </c>
      <c r="B48" s="142" t="n">
        <f aca="false">(('4. Reforecast_FY2026'!$B$5*(1+'4. Assumptions_FY2026'!$D$7+'4. Assumptions_FY2026'!$D$8+$A48)*(1+'4. Assumptions_FY2026'!$D$11-B$40-'4. Assumptions_FY2026'!$D$13-'4. Assumptions_FY2026'!$D$14-'4. Assumptions_FY2026'!$D$15+'4. Assumptions_FY2026'!$D$17+'4. Assumptions_FY2026'!$D$18)+'4. Reforecast_FY2026'!$C$18)*(1-'4. Assumptions_FY2026'!$D$22)+'4. Reforecast_FY2026'!$C$20)*(1-'4. Assumptions_FY2026'!$D$23)</f>
        <v>9315.78033240299</v>
      </c>
      <c r="C48" s="142" t="n">
        <f aca="false">(('4. Reforecast_FY2026'!$B$5*(1+'4. Assumptions_FY2026'!$D$7+'4. Assumptions_FY2026'!$D$8+$A48)*(1+'4. Assumptions_FY2026'!$D$11-C$40-'4. Assumptions_FY2026'!$D$13-'4. Assumptions_FY2026'!$D$14-'4. Assumptions_FY2026'!$D$15+'4. Assumptions_FY2026'!$D$17+'4. Assumptions_FY2026'!$D$18)+'4. Reforecast_FY2026'!$C$18)*(1-'4. Assumptions_FY2026'!$D$22)+'4. Reforecast_FY2026'!$C$20)*(1-'4. Assumptions_FY2026'!$D$23)</f>
        <v>8985.28651371299</v>
      </c>
      <c r="D48" s="142" t="n">
        <f aca="false">(('4. Reforecast_FY2026'!$B$5*(1+'4. Assumptions_FY2026'!$D$7+'4. Assumptions_FY2026'!$D$8+$A48)*(1+'4. Assumptions_FY2026'!$D$11-D$40-'4. Assumptions_FY2026'!$D$13-'4. Assumptions_FY2026'!$D$14-'4. Assumptions_FY2026'!$D$15+'4. Assumptions_FY2026'!$D$17+'4. Assumptions_FY2026'!$D$18)+'4. Reforecast_FY2026'!$C$18)*(1-'4. Assumptions_FY2026'!$D$22)+'4. Reforecast_FY2026'!$C$20)*(1-'4. Assumptions_FY2026'!$D$23)</f>
        <v>8654.79269502299</v>
      </c>
      <c r="E48" s="142" t="n">
        <f aca="false">(('4. Reforecast_FY2026'!$B$5*(1+'4. Assumptions_FY2026'!$D$7+'4. Assumptions_FY2026'!$D$8+$A48)*(1+'4. Assumptions_FY2026'!$D$11-E$40-'4. Assumptions_FY2026'!$D$13-'4. Assumptions_FY2026'!$D$14-'4. Assumptions_FY2026'!$D$15+'4. Assumptions_FY2026'!$D$17+'4. Assumptions_FY2026'!$D$18)+'4. Reforecast_FY2026'!$C$18)*(1-'4. Assumptions_FY2026'!$D$22)+'4. Reforecast_FY2026'!$C$20)*(1-'4. Assumptions_FY2026'!$D$23)</f>
        <v>8324.29887633299</v>
      </c>
      <c r="F48" s="142" t="n">
        <f aca="false">(('4. Reforecast_FY2026'!$B$5*(1+'4. Assumptions_FY2026'!$D$7+'4. Assumptions_FY2026'!$D$8+$A48)*(1+'4. Assumptions_FY2026'!$D$11-F$40-'4. Assumptions_FY2026'!$D$13-'4. Assumptions_FY2026'!$D$14-'4. Assumptions_FY2026'!$D$15+'4. Assumptions_FY2026'!$D$17+'4. Assumptions_FY2026'!$D$18)+'4. Reforecast_FY2026'!$C$18)*(1-'4. Assumptions_FY2026'!$D$22)+'4. Reforecast_FY2026'!$C$20)*(1-'4. Assumptions_FY2026'!$D$23)</f>
        <v>7993.80505764299</v>
      </c>
      <c r="G48" s="142" t="n">
        <f aca="false">(('4. Reforecast_FY2026'!$B$5*(1+'4. Assumptions_FY2026'!$D$7+'4. Assumptions_FY2026'!$D$8+$A48)*(1+'4. Assumptions_FY2026'!$D$11-G$40-'4. Assumptions_FY2026'!$D$13-'4. Assumptions_FY2026'!$D$14-'4. Assumptions_FY2026'!$D$15+'4. Assumptions_FY2026'!$D$17+'4. Assumptions_FY2026'!$D$18)+'4. Reforecast_FY2026'!$C$18)*(1-'4. Assumptions_FY2026'!$D$22)+'4. Reforecast_FY2026'!$C$20)*(1-'4. Assumptions_FY2026'!$D$23)</f>
        <v>7663.31123895299</v>
      </c>
      <c r="H48" s="142" t="n">
        <f aca="false">(('4. Reforecast_FY2026'!$B$5*(1+'4. Assumptions_FY2026'!$D$7+'4. Assumptions_FY2026'!$D$8+$A48)*(1+'4. Assumptions_FY2026'!$D$11-H$40-'4. Assumptions_FY2026'!$D$13-'4. Assumptions_FY2026'!$D$14-'4. Assumptions_FY2026'!$D$15+'4. Assumptions_FY2026'!$D$17+'4. Assumptions_FY2026'!$D$18)+'4. Reforecast_FY2026'!$C$18)*(1-'4. Assumptions_FY2026'!$D$22)+'4. Reforecast_FY2026'!$C$20)*(1-'4. Assumptions_FY2026'!$D$23)</f>
        <v>7332.81742026299</v>
      </c>
      <c r="I48" s="113"/>
    </row>
    <row r="49" customFormat="false" ht="27.75" hidden="false" customHeight="true" outlineLevel="0" collapsed="false">
      <c r="A49" s="128" t="s">
        <v>503</v>
      </c>
      <c r="B49" s="128"/>
      <c r="C49" s="128"/>
      <c r="D49" s="128"/>
      <c r="E49" s="128"/>
      <c r="F49" s="128"/>
      <c r="G49" s="128"/>
      <c r="H49" s="128"/>
      <c r="I49" s="128"/>
      <c r="J49" s="128"/>
      <c r="K49" s="128"/>
      <c r="L49" s="128"/>
    </row>
    <row r="50" customFormat="false" ht="15" hidden="false" customHeight="false" outlineLevel="0" collapsed="false">
      <c r="A50" s="94"/>
      <c r="B50" s="94"/>
      <c r="C50" s="94"/>
      <c r="D50" s="94"/>
      <c r="E50" s="94"/>
      <c r="F50" s="94"/>
      <c r="G50" s="94"/>
      <c r="H50" s="94"/>
      <c r="I50" s="94"/>
    </row>
    <row r="51" customFormat="false" ht="18" hidden="false" customHeight="true" outlineLevel="0" collapsed="false">
      <c r="A51" s="95" t="s">
        <v>504</v>
      </c>
      <c r="B51" s="96"/>
      <c r="C51" s="96"/>
      <c r="D51" s="96"/>
      <c r="E51" s="96"/>
      <c r="F51" s="96"/>
      <c r="G51" s="96"/>
      <c r="H51" s="96"/>
      <c r="I51" s="96"/>
      <c r="J51" s="129"/>
      <c r="K51" s="129"/>
      <c r="L51" s="129"/>
    </row>
    <row r="52" customFormat="false" ht="15" hidden="false" customHeight="false" outlineLevel="0" collapsed="false">
      <c r="A52" s="110" t="s">
        <v>505</v>
      </c>
      <c r="B52" s="110"/>
      <c r="C52" s="143" t="n">
        <f aca="false">G12-F12</f>
        <v>894.899999999994</v>
      </c>
      <c r="D52" s="113"/>
      <c r="E52" s="113"/>
      <c r="F52" s="113"/>
      <c r="G52" s="113"/>
      <c r="H52" s="113"/>
      <c r="I52" s="113"/>
    </row>
    <row r="53" customFormat="false" ht="15" hidden="false" customHeight="false" outlineLevel="0" collapsed="false">
      <c r="A53" s="110" t="s">
        <v>506</v>
      </c>
      <c r="B53" s="110"/>
      <c r="C53" s="143" t="n">
        <f aca="false">G18-F18</f>
        <v>81.9854357174982</v>
      </c>
      <c r="D53" s="113"/>
      <c r="E53" s="113"/>
      <c r="F53" s="113"/>
      <c r="G53" s="113"/>
      <c r="H53" s="113"/>
      <c r="I53" s="113"/>
    </row>
    <row r="54" customFormat="false" ht="15" hidden="false" customHeight="false" outlineLevel="0" collapsed="false">
      <c r="A54" s="110" t="s">
        <v>507</v>
      </c>
      <c r="B54" s="110"/>
      <c r="C54" s="143" t="n">
        <f aca="false">(F33-E33)/5</f>
        <v>-64.184706873</v>
      </c>
      <c r="D54" s="113"/>
      <c r="E54" s="113"/>
      <c r="F54" s="113"/>
      <c r="G54" s="113"/>
      <c r="H54" s="113"/>
      <c r="I54" s="113"/>
    </row>
    <row r="55" customFormat="false" ht="15" hidden="false" customHeight="false" outlineLevel="0" collapsed="false">
      <c r="A55" s="110" t="s">
        <v>508</v>
      </c>
      <c r="B55" s="110"/>
      <c r="C55" s="144" t="n">
        <f aca="false">ABS(C54/C53)</f>
        <v>0.782879377431924</v>
      </c>
      <c r="D55" s="113"/>
      <c r="E55" s="113"/>
      <c r="F55" s="113"/>
      <c r="G55" s="113"/>
      <c r="H55" s="113"/>
      <c r="I55" s="113"/>
    </row>
    <row r="56" customFormat="false" ht="15" hidden="false" customHeight="false" outlineLevel="0" collapsed="false">
      <c r="A56" s="110" t="s">
        <v>509</v>
      </c>
      <c r="B56" s="110"/>
      <c r="C56" s="143" t="n">
        <f aca="false">(('4. Reforecast_FY2026'!$B$5*(1+'4. Assumptions_FY2026'!$D$7+'4. Assumptions_FY2026'!$D$8+'4. Assumptions_FY2026'!$D$58)*(1+'4. Assumptions_FY2026'!$D$11-'4. Assumptions_FY2026'!$D$12-'4. Assumptions_FY2026'!$D$13-'4. Assumptions_FY2026'!$D$14-'4. Assumptions_FY2026'!$D$15+'4. Assumptions_FY2026'!$D$17+'4. Assumptions_FY2026'!$D$18)+'4. Reforecast_FY2026'!$C$18)*(1-'4. Assumptions_FY2026'!$D$22)+'4. Reforecast_FY2026'!$C$20)*(1-'4. Assumptions_FY2026'!$D$23)</f>
        <v>7832.38626202799</v>
      </c>
      <c r="D56" s="113"/>
      <c r="E56" s="113"/>
      <c r="F56" s="113"/>
      <c r="G56" s="113"/>
      <c r="H56" s="113"/>
      <c r="I56" s="113"/>
    </row>
    <row r="57" customFormat="false" ht="15" hidden="false" customHeight="false" outlineLevel="0" collapsed="false">
      <c r="A57" s="110" t="s">
        <v>510</v>
      </c>
      <c r="B57" s="110"/>
      <c r="C57" s="143" t="n">
        <f aca="false">'4. Reforecast_FY2026'!$C$24-C56</f>
        <v>245.956307152506</v>
      </c>
      <c r="D57" s="113"/>
      <c r="E57" s="113"/>
      <c r="F57" s="113"/>
      <c r="G57" s="113"/>
      <c r="H57" s="113"/>
      <c r="I57" s="113"/>
    </row>
    <row r="58" customFormat="false" ht="15" hidden="false" customHeight="false" outlineLevel="0" collapsed="false">
      <c r="A58" s="110" t="s">
        <v>511</v>
      </c>
      <c r="B58" s="110"/>
      <c r="C58" s="145" t="n">
        <f aca="false">'4. Assumptions_FY2026'!$D$12+('4. Reforecast_FY2026'!$C$26-'4. Reforecast_FY2026'!$B$26)</f>
        <v>0.540711085037434</v>
      </c>
      <c r="D58" s="113"/>
      <c r="E58" s="113"/>
      <c r="F58" s="113"/>
      <c r="G58" s="113"/>
      <c r="H58" s="113"/>
      <c r="I58" s="113"/>
    </row>
    <row r="59" customFormat="false" ht="15" hidden="false" customHeight="false" outlineLevel="0" collapsed="false">
      <c r="A59" s="110" t="s">
        <v>512</v>
      </c>
      <c r="B59" s="110"/>
      <c r="C59" s="145" t="n">
        <f aca="false">'4. Assumptions_FY2026'!$D$12+('4. Assumptions_FY2026'!$D$53-'4. Reforecast_FY2026'!$C$75)/((F35-E35)/5)/1000</f>
        <v>0.559733614724456</v>
      </c>
      <c r="D59" s="113"/>
      <c r="E59" s="113"/>
      <c r="F59" s="113"/>
      <c r="G59" s="113"/>
      <c r="H59" s="113"/>
      <c r="I59" s="113"/>
    </row>
    <row r="60" customFormat="false" ht="15" hidden="false" customHeight="false" outlineLevel="0" collapsed="false">
      <c r="A60" s="110" t="s">
        <v>513</v>
      </c>
      <c r="B60" s="110"/>
      <c r="C60" s="146" t="n">
        <f aca="false">'4. Assumptions_FY2026'!$D$9+('4. Assumptions_FY2026'!$D$53-'4. Reforecast_FY2026'!$C$75)/(G20-F20)/100</f>
        <v>-0.227508880443518</v>
      </c>
      <c r="D60" s="113"/>
      <c r="E60" s="113"/>
      <c r="F60" s="113"/>
      <c r="G60" s="113"/>
      <c r="H60" s="113"/>
      <c r="I60" s="113"/>
    </row>
    <row r="61" customFormat="false" ht="15" hidden="false" customHeight="false" outlineLevel="0" collapsed="false">
      <c r="A61" s="110" t="s">
        <v>514</v>
      </c>
      <c r="B61" s="110"/>
      <c r="C61" s="147" t="n">
        <f aca="false">ROUND((('4. Reforecast_FY2026'!$B$5*(1+'4. Assumptions_FY2026'!$D$7+'4. Assumptions_FY2026'!$D$8+'4. Assumptions_FY2026'!$D$9)*(1+'4. Assumptions_FY2026'!$D$11-'4. Assumptions_FY2026'!$D$12-'4. Assumptions_FY2026'!$D$13-'4. Assumptions_FY2026'!$D$14-'4. Assumptions_FY2026'!$D$15+'4. Assumptions_FY2026'!$D$17+'4. Assumptions_FY2026'!$D$18)+'4. Reforecast_FY2026'!$C$18)*(1-'4. Assumptions_FY2026'!$D$22)+'4. Reforecast_FY2026'!$C$20)*(1-'4. Assumptions_FY2026'!$D$23)-'4. Reforecast_FY2026'!$C$24,2)</f>
        <v>0</v>
      </c>
      <c r="D61" s="113"/>
      <c r="E61" s="113"/>
      <c r="F61" s="113"/>
      <c r="G61" s="113"/>
      <c r="H61" s="113"/>
      <c r="I61" s="113"/>
    </row>
    <row r="62" customFormat="false" ht="15" hidden="false" customHeight="false" outlineLevel="0" collapsed="false">
      <c r="A62" s="94"/>
      <c r="B62" s="94"/>
      <c r="C62" s="94"/>
      <c r="D62" s="94"/>
      <c r="E62" s="94"/>
      <c r="F62" s="94"/>
      <c r="G62" s="94"/>
      <c r="H62" s="94"/>
      <c r="I62" s="94"/>
    </row>
    <row r="63" customFormat="false" ht="15" hidden="false" customHeight="false" outlineLevel="0" collapsed="false">
      <c r="A63" s="121" t="s">
        <v>515</v>
      </c>
      <c r="B63" s="94"/>
      <c r="C63" s="94"/>
      <c r="D63" s="94"/>
      <c r="E63" s="94"/>
      <c r="F63" s="94"/>
      <c r="G63" s="94"/>
      <c r="H63" s="94"/>
      <c r="I63" s="94"/>
    </row>
    <row r="64" customFormat="false" ht="30" hidden="false" customHeight="true" outlineLevel="0" collapsed="false">
      <c r="A64" s="32" t="s">
        <v>516</v>
      </c>
      <c r="B64" s="32"/>
      <c r="C64" s="32"/>
      <c r="D64" s="32"/>
      <c r="E64" s="32"/>
      <c r="F64" s="32"/>
      <c r="G64" s="32"/>
      <c r="H64" s="32"/>
      <c r="I64" s="32"/>
      <c r="J64" s="32"/>
      <c r="K64" s="32"/>
      <c r="L64" s="32"/>
    </row>
    <row r="65" customFormat="false" ht="30" hidden="false" customHeight="true" outlineLevel="0" collapsed="false">
      <c r="A65" s="32" t="s">
        <v>517</v>
      </c>
      <c r="B65" s="32"/>
      <c r="C65" s="32"/>
      <c r="D65" s="32"/>
      <c r="E65" s="32"/>
      <c r="F65" s="32"/>
      <c r="G65" s="32"/>
      <c r="H65" s="32"/>
      <c r="I65" s="32"/>
      <c r="J65" s="32"/>
      <c r="K65" s="32"/>
      <c r="L65" s="32"/>
    </row>
    <row r="66" customFormat="false" ht="30" hidden="false" customHeight="true" outlineLevel="0" collapsed="false">
      <c r="A66" s="32" t="s">
        <v>518</v>
      </c>
      <c r="B66" s="32"/>
      <c r="C66" s="32"/>
      <c r="D66" s="32"/>
      <c r="E66" s="32"/>
      <c r="F66" s="32"/>
      <c r="G66" s="32"/>
      <c r="H66" s="32"/>
      <c r="I66" s="32"/>
      <c r="J66" s="32"/>
      <c r="K66" s="32"/>
      <c r="L66" s="32"/>
    </row>
  </sheetData>
  <mergeCells count="19">
    <mergeCell ref="A2:I2"/>
    <mergeCell ref="F5:L5"/>
    <mergeCell ref="F6:L6"/>
    <mergeCell ref="F7:L7"/>
    <mergeCell ref="A39:I39"/>
    <mergeCell ref="A49:L49"/>
    <mergeCell ref="A52:B52"/>
    <mergeCell ref="A53:B53"/>
    <mergeCell ref="A54:B54"/>
    <mergeCell ref="A55:B55"/>
    <mergeCell ref="A56:B56"/>
    <mergeCell ref="A57:B57"/>
    <mergeCell ref="A58:B58"/>
    <mergeCell ref="A59:B59"/>
    <mergeCell ref="A60:B60"/>
    <mergeCell ref="A61:B61"/>
    <mergeCell ref="A64:L64"/>
    <mergeCell ref="A65:L65"/>
    <mergeCell ref="A66:L66"/>
  </mergeCells>
  <conditionalFormatting sqref="B10:I22">
    <cfRule type="expression" priority="2" aboveAverage="0" equalAverage="0" bottom="0" percent="0" rank="0" text="" dxfId="2">
      <formula>B$11="Base"</formula>
    </cfRule>
  </conditionalFormatting>
  <conditionalFormatting sqref="B25:H37">
    <cfRule type="expression" priority="3" aboveAverage="0" equalAverage="0" bottom="0" percent="0" rank="0" text="" dxfId="2">
      <formula>B$26="Base"</formula>
    </cfRule>
  </conditionalFormatting>
  <conditionalFormatting sqref="B41:H48">
    <cfRule type="expression" priority="4" aboveAverage="0" equalAverage="0" bottom="0" percent="0" rank="0" text="" dxfId="3">
      <formula>AND(ROUND($A41-'4. Assumptions_FY2026'!$D$9,6)=0,ROUND(B$40-'4. Assumptions_FY2026'!$D$12,6)=0)</formula>
    </cfRule>
    <cfRule type="expression" priority="5" aboveAverage="0" equalAverage="0" bottom="0" percent="0" rank="0" text="" dxfId="4">
      <formula>B41&lt;'4. Reforecast_FY2026'!$B$24</formula>
    </cfRule>
    <cfRule type="expression" priority="6" aboveAverage="0" equalAverage="0" bottom="0" percent="0" rank="0" text="" dxfId="5">
      <formula>B41&gt;='4. Reforecast_FY2026'!$B$24</formula>
    </cfRule>
  </conditionalFormatting>
  <printOptions headings="false" gridLines="false" gridLinesSet="true" horizontalCentered="true" verticalCentered="false"/>
  <pageMargins left="0.4" right="0.4" top="0.8" bottom="0.8" header="0.3" footer="0.3"/>
  <pageSetup paperSize="9" scale="100" fitToWidth="1" fitToHeight="0" pageOrder="downThenOver" orientation="landscape" blackAndWhite="false" draft="false" cellComments="none" horizontalDpi="300" verticalDpi="300" copies="1"/>
  <headerFooter differentFirst="false" differentOddEven="false">
    <oddHeader>&amp;L&amp;"Times New Roman,Italic"&amp;8 Nestlé Group — FP&amp;&amp;A Case Study (independent analysis)&amp;R&amp;"Times New Roman,Italic"&amp;8 &amp;A</oddHeader>
    <oddFooter>&amp;L&amp;"Times New Roman,Regular"&amp;8 Prepared by Thanh Vinh Dang · Source: Nestlé public disclosures&amp;R&amp;"Times New Roman,Regular"&amp;8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2026-09-26T17:47:09Z</dcterms:created>
  <dc:creator>openpyxl</dc:creator>
  <dc:description/>
  <dc:language>en-US</dc:language>
  <cp:lastModifiedBy/>
  <dcterms:modified xsi:type="dcterms:W3CDTF">2026-09-27T18:24:32Z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