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1. Segment_Data" sheetId="2" state="visible" r:id="rId4"/>
    <sheet name="1. Category_Data" sheetId="3" state="visible" r:id="rId5"/>
    <sheet name="1. Income_Statement" sheetId="4" state="visible" r:id="rId6"/>
    <sheet name="1. Cash_Flow_Statement" sheetId="5" state="visible" r:id="rId7"/>
    <sheet name="1. Overview_Analysis" sheetId="6" state="visible" r:id="rId8"/>
    <sheet name="2. Assumptions_FY2025" sheetId="7" state="visible" r:id="rId9"/>
    <sheet name="2. Budget_FY2025_PL_CF"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<sst xmlns="http://schemas.openxmlformats.org/spreadsheetml/2006/main" count="541" uniqueCount="289">
  <si>
    <t xml:space="preserve">Nestlé FP&amp;A Case Study — Data Foundation</t>
  </si>
  <si>
    <t xml:space="preserve">Purpose</t>
  </si>
  <si>
    <t xml:space="preserve">This workbook is Step 1 (Data Foundation) of an end-to-end FP&amp;A portfolio project. It compiles Nestlé's real, publicly disclosed segment and product-category financials (FY2021–FY2024) into a clean structure that Steps 2–3 (Budget Model, Variance Analysis) and beyond build on.</t>
  </si>
  <si>
    <t xml:space="preserve">Sheets in this workbook</t>
  </si>
  <si>
    <t xml:space="preserve">• 1. Segment_Data — Sales &amp; Underlying Trading Operating Profit (UTOP) by reporting segment (5 geographic Zones + Nespresso + Nestlé Health Science + Other Businesses), FY2021–FY2024, with the organic growth bridge (RIG / Pricing / Net M&amp;A / FX) for FY2022 and FY2024.</t>
  </si>
  <si>
    <t xml:space="preserve">• 1. Category_Data — Sales &amp; UTOP by product category (7 categories: Powdered &amp; liquid beverages, Water, Milk products &amp; ice cream, Nutrition &amp; Health Science, Prepared dishes &amp; cooking aids, Confectionery, PetCare), FY2021–FY2024.</t>
  </si>
  <si>
    <t xml:space="preserve">• 1.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</si>
  <si>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1.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</si>
  <si>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2. Assumptions_FY2025 — ~40 line-item FY2025 budget drivers covering the full Income Statement and Cash Flow Statement (organic growth, FX, cost ratios, other trading/operating items, financial income/expense, associates income, tax rate, NCI, D&amp;A, impairment, working capital, capex, investing and financing lines), each cited to Nestlé's own FY2025 guidance where available, or flagged as an explicit own-assumption with rationale where not. Yellow cells are the editable levers.</t>
  </si>
  <si>
    <t xml:space="preserve">• 2. Budget_FY2025_PL_CF — Full-detail FY2025 Budget vs FY2024 Actual, built at the same line-item level as 1. Income_Statement and 1. Cash_Flow_Statement, fully driven by 2. Assumptions_FY2025. Built from guidance disclosed BEFORE FY2025 actual results were known — sets up Step 3 (Variance Analysis) of this project.</t>
  </si>
  <si>
    <t xml:space="preserve">• 1. Overview_Analysis — two additional views built entirely by formula from 1. Segment_Data, 1. Income_Statement and 2. Budget_FY2025_PL_CF: a Group-level Sales Growth Bridge (RIG / Pricing / Net M&amp;A / FX) for FY2022, FY2024 and the FY2025 Budget, and a Cost Structure &amp; Margin trend as % of Sales, FY2021–FY2024 Actual plus FY2025 Budget. Each includes a long-format summary table.</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</si>
  <si>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</si>
  <si>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</si>
  <si>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</si>
  <si>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</si>
  <si>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</si>
  <si>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</si>
  <si>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</si>
  <si>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</si>
  <si>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</si>
  <si>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1. Income_Statement / 1. Cash_Flow_Statement sheets: sourced from Nestlé's full Financial Statements documents (not the condensed press releases used for 1. Segment_Data/1. 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1.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</si>
  <si>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</si>
  <si>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</si>
  <si>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</si>
  <si>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</si>
  <si>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</si>
  <si>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</si>
  <si>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</si>
  <si>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</si>
  <si>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</si>
  <si>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</si>
  <si>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</si>
  <si>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</si>
  <si>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</si>
  <si>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</si>
  <si>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</si>
  <si>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</si>
  <si>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</si>
  <si>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</si>
  <si>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</si>
  <si>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</si>
  <si>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</si>
  <si>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</si>
  <si>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</si>
  <si>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</si>
  <si>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</si>
  <si>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</si>
  <si>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</si>
  <si>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</si>
  <si>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</si>
  <si>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</si>
  <si>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</si>
  <si>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</si>
  <si>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</si>
  <si>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</si>
  <si>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</si>
  <si>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</si>
  <si>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</si>
  <si>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</si>
  <si>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</si>
  <si>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</si>
  <si>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</si>
  <si>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</si>
  <si>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</si>
  <si>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</si>
  <si>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</si>
  <si>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</si>
  <si>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</si>
  <si>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</si>
  <si>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</si>
  <si>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</si>
  <si>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</si>
  <si>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</si>
  <si>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</si>
  <si>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</si>
  <si>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</si>
  <si>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</si>
  <si>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</si>
  <si>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</si>
  <si>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</si>
  <si>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</si>
  <si>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</si>
  <si>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</si>
  <si>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</si>
  <si>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</si>
  <si>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</si>
  <si>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</si>
  <si>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</si>
  <si>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</si>
  <si>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</si>
  <si>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</si>
  <si>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</si>
  <si>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</si>
  <si>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</si>
  <si>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</si>
  <si>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</si>
  <si>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</si>
  <si>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</si>
  <si>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</si>
  <si>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</si>
  <si>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</si>
  <si>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</si>
  <si>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</si>
  <si>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</si>
  <si>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</si>
  <si>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</si>
  <si>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</si>
  <si>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</si>
  <si>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</si>
  <si>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</si>
  <si>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</si>
  <si>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</si>
  <si>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</si>
  <si>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</si>
  <si>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</si>
  <si>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</si>
  <si>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</si>
  <si>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</si>
  <si>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</si>
  <si>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</si>
  <si>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</si>
  <si>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</si>
  <si>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</si>
  <si>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</si>
  <si>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</si>
  <si>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</si>
  <si>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</si>
  <si>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</si>
  <si>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</si>
  <si>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</si>
  <si>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</si>
  <si>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</si>
  <si>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</si>
  <si>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</si>
  <si>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</si>
  <si>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</si>
  <si>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</si>
  <si>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</si>
  <si>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</si>
  <si>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</si>
  <si>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</si>
  <si>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</si>
  <si>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</si>
  <si>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</si>
  <si>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</si>
  <si>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</si>
  <si>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</si>
  <si>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</si>
  <si>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</si>
  <si>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</si>
  <si>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</si>
  <si>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</si>
  <si>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</si>
  <si>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</si>
  <si>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</si>
  <si>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</si>
  <si>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</si>
  <si>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</si>
  <si>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</si>
  <si>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Group — Overview Analysis</t>
  </si>
  <si>
    <t xml:space="preserve">Two additional views of the same underlying data in Segment_Data, Income_Statement and Budget_FY2025_PL_CF: how sales growth breaks down by driver, and how the cost/margin structure is shifting over time — complementing the geography (Segment_Data) and product (Category_Data) views elsewhere in this workbook.</t>
  </si>
  <si>
    <t xml:space="preserve">A. GROUP SALES GROWTH BRIDGE (RIG / Pricing / Net M&amp;A / FX)</t>
  </si>
  <si>
    <t xml:space="preserve">Component</t>
  </si>
  <si>
    <t xml:space="preserve">FY2025 Budget</t>
  </si>
  <si>
    <t xml:space="preserve">Real Internal Growth (RIG) — volume/mix</t>
  </si>
  <si>
    <t xml:space="preserve">Pricing</t>
  </si>
  <si>
    <t xml:space="preserve">Organic Growth (RIG + Pricing)</t>
  </si>
  <si>
    <t xml:space="preserve">Net M&amp;A Impact</t>
  </si>
  <si>
    <t xml:space="preserve">Foreign Exchange (FX) Impact</t>
  </si>
  <si>
    <t xml:space="preserve">Reported Sales Growth</t>
  </si>
  <si>
    <t xml:space="preserve">Check vs Segment_Data reported YoY (should match Reported Sales Growth above):</t>
  </si>
  <si>
    <t xml:space="preserve">Segment_Data FY Sales YoY (Total Group)</t>
  </si>
  <si>
    <t xml:space="preserve">Note: FY2021 and FY2023 are not shown because Nestlé did not disclose a full RIG/Pricing/Net M&amp;A/FX bridge for the Group total in those years' press releases (only FY2022 and FY2024 bridges were published at Group level). The FY2025 Budget column does not split Organic Growth into RIG vs Pricing because FY2025 guidance was not given at that level of granularity — see Assumptions_FY2025. Small rounding differences (a few basis points) between "Reported Sales Growth" here and the Segment_Data check row reflect Nestlé's own bridge components being disclosed rounded to one decimal place, not a formula error.</t>
  </si>
  <si>
    <t xml:space="preserve">Summary (long format)</t>
  </si>
  <si>
    <t xml:space="preserve">Year</t>
  </si>
  <si>
    <t xml:space="preserve">Value</t>
  </si>
  <si>
    <t xml:space="preserve">RIG</t>
  </si>
  <si>
    <t xml:space="preserve">Net M&amp;A</t>
  </si>
  <si>
    <t xml:space="preserve">FX</t>
  </si>
  <si>
    <t xml:space="preserve">Organic Growth (RIG+Pricing combined)</t>
  </si>
  <si>
    <t xml:space="preserve">B. GROUP COST STRUCTURE &amp; MARGIN TREND (% of Sales)</t>
  </si>
  <si>
    <t xml:space="preserve">Metric</t>
  </si>
  <si>
    <t xml:space="preserve">Cost of Goods Sold (% of Sales)</t>
  </si>
  <si>
    <t xml:space="preserve">Distribution Expenses (% of Sales)</t>
  </si>
  <si>
    <t xml:space="preserve">Marketing &amp; Administration Expenses (% of Sales)</t>
  </si>
  <si>
    <t xml:space="preserve">Research &amp; Development Costs (% of Sales)</t>
  </si>
  <si>
    <t xml:space="preserve">Other Trading Items, net (% of Sales)</t>
  </si>
  <si>
    <t xml:space="preserve">Other Operating Items, net (% of Sales)</t>
  </si>
  <si>
    <t xml:space="preserve">Net Financial Expense (% of Sales)</t>
  </si>
  <si>
    <t xml:space="preserve">Effective Tax Rate</t>
  </si>
  <si>
    <t xml:space="preserve">Note: ratios are computed by formula directly from Income_Statement and Budget_FY2025_PL_CF — nothing here is a separately sourced or hardcoded figure. "Other trading/operating items, net" are shown combined (income + expense) to match the Budget's presentation.</t>
  </si>
  <si>
    <t xml:space="preserve">Nestlé — FY2025 Budget Assumptions (full line-item detail, P&amp;L + Cash Flow)</t>
  </si>
  <si>
    <t xml:space="preserve">Driver</t>
  </si>
  <si>
    <t xml:space="preserve">FY2025 Assumption</t>
  </si>
  <si>
    <t xml:space="preserve">Source / Rationale</t>
  </si>
  <si>
    <t xml:space="preserve">A. INCOME STATEMENT DRIVERS</t>
  </si>
  <si>
    <t xml:space="preserve">Organic Sales Growth</t>
  </si>
  <si>
    <t xml:space="preserve">Nestlé FY2025 guidance (Full-Year Results 2024 press release, 13-Feb-2025): "organic sales growth is expected to improve compared to 2024, strengthening through the year" (FY2024 organic growth was 2.2%). 3.0% is an illustrative point assumption within that guided range — Nestlé did not disclose a precise FY2025 organic growth number.</t>
  </si>
  <si>
    <t xml:space="preserve">No acquisition/divestment guidance was disclosed for FY2025; assumed neutral (0.0%), consistent with FY2024's own -0.3% being a minor, non-recurring item.</t>
  </si>
  <si>
    <t xml:space="preserve">FY2025 guidance "assumes no significant change in key macroeconomic variables" — interpreted as a flat (0.0%) FX assumption. This is a simplifying assumption, not a forecast of currency markets.</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</si>
  <si>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</si>
  <si>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</si>
  <si>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</si>
  <si>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</si>
  <si>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Own assumption: modest improvement from FY2024's 53.3% ratio, reflecting continued procurement/input-cost savings under the "Fuel for Growth" cost-savings programme referenced in FY2025 guidance. No specific COGS-ratio guidance was disclosed.</t>
  </si>
  <si>
    <t xml:space="preserve">Own assumption: slight improvement from FY2024's 8.28% ratio, reflecting logistics/supply-chain efficiencies under Fuel for Growth. No specific guidance was disclosed for this line.</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</si>
  <si>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</si>
  <si>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</si>
  <si>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</si>
  <si>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</si>
  <si>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Own assumption: FY2023–FY2024 two-year average net ratio (-1.65% / -1.17%, avg ≈ -1.41%), reflecting continued but no-longer-escalating restructuring/one-off items as the prior large cost-reduction programme (2021–2022) winds down. Nestlé does not guide this line.</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</si>
  <si>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</si>
  <si>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</si>
  <si>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</si>
  <si>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</si>
  <si>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</si>
  <si>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</si>
  <si>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t>
  </si>
  <si>
    <t xml:space="preserve">Own assumption: close to, but slightly below, FY2024's reported 25.0% rate, with modest normalization assumed as the one-off deferred-tax write-off that inflated the FY2024 rate is not expected to repeat. No FY2025 tax-rate guidance was disclosed.</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</si>
  <si>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</si>
  <si>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</si>
  <si>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</si>
  <si>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</si>
  <si>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</si>
  <si>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</si>
  <si>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</si>
  <si>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</si>
  <si>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</si>
  <si>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</si>
  <si>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</si>
  <si>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</si>
  <si>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</si>
  <si>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</si>
  <si>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</si>
  <si>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</si>
  <si>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</si>
  <si>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</si>
  <si>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</si>
  <si>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</si>
  <si>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</si>
  <si>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</si>
  <si>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</si>
  <si>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</si>
  <si>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</si>
  <si>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</si>
  <si>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</si>
  <si>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</si>
  <si>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</si>
  <si>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</si>
  <si>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</si>
  <si>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</si>
  <si>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</si>
  <si>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</si>
  <si>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</si>
  <si>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</si>
  <si>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</si>
  <si>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</si>
  <si>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</si>
  <si>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</si>
  <si>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</si>
  <si>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</si>
  <si>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</si>
  <si>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</si>
  <si>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</si>
  <si>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</si>
  <si>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</si>
  <si>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</si>
  <si>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</si>
  <si>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IMPORTANT: cells highlighted in yellow are the editable assumptions. Change any of them and every figure in the Budget_FY2025_PL_CF sheet recalculates automatically. Rows marked "→" are memo/formula rows, not separate inputs.</t>
  </si>
  <si>
    <t xml:space="preserve">Nestlé Group — FY2025 Budget vs FY2024 Actual, full P&amp;L + Cash Flow detail (CHF m unless % or per-share)</t>
  </si>
  <si>
    <t xml:space="preserve">FY2024 Actual</t>
  </si>
  <si>
    <t xml:space="preserve">Budget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</si>
  <si>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</si>
  <si>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</si>
  <si>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</si>
  <si>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</si>
  <si>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</si>
  <si>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</si>
  <si>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</si>
  <si>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</si>
  <si>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</si>
  <si>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</si>
  <si>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</si>
  <si>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</si>
  <si>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the Income_Statement and Cash_Flow_Statement sheets — it is not retyped. Column C ("FY2025 Budget") is entirely driven by the assumption cells in Assumptions_FY2025 — change any assumption there and this whole sheet recalculates.</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</si>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</sst>
</file>

<file path=xl/styles.xml><?xml version="1.0" encoding="utf-8"?>
<styleSheet xmlns="http://schemas.openxmlformats.org/spreadsheetml/2006/main">
  <numFmts count="5">
    <numFmt numFmtId="164" formatCode="General"/>
    <numFmt numFmtId="165" formatCode="#,##0;\(#,##0\);\-"/>
    <numFmt numFmtId="166" formatCode="0.0%;\(0.0%\);\-"/>
    <numFmt numFmtId="167" formatCode="0.00;\(0.00\);\-"/>
    <numFmt numFmtId="168" formatCode="#,##0.0"/>
  </numFmts>
  <fonts count="28">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1"/>
      <color rgb="FF1F4B44"/>
      <name val="Times New Roman"/>
      <family val="0"/>
      <charset val="1"/>
    </font>
    <font>
      <sz val="11"/>
      <color theme="1"/>
      <name val="Times New Roman"/>
      <family val="0"/>
      <charset val="1"/>
    </font>
    <font>
      <b val="true"/>
      <sz val="11"/>
      <name val="Times New Roman"/>
      <family val="0"/>
      <charset val="1"/>
    </font>
    <font>
      <sz val="11"/>
      <color rgb="FF000000"/>
      <name val="Times New Roman"/>
      <family val="0"/>
      <charset val="1"/>
    </font>
    <font>
      <i val="true"/>
      <sz val="11"/>
      <color rgb="FF666666"/>
      <name val="Times New Roman"/>
      <family val="0"/>
      <charset val="1"/>
    </font>
    <font>
      <b val="true"/>
      <sz val="14"/>
      <color rgb="FF1F4B44"/>
      <name val="Times New Roman"/>
      <family val="0"/>
      <charset val="1"/>
    </font>
    <font>
      <b val="true"/>
      <sz val="10"/>
      <color rgb="FFFFFFFF"/>
      <name val="Times New Roman"/>
      <family val="0"/>
      <charset val="1"/>
    </font>
    <font>
      <b val="true"/>
      <sz val="10"/>
      <name val="Times New Roman"/>
      <family val="0"/>
      <charset val="1"/>
    </font>
    <font>
      <sz val="10"/>
      <color rgb="FF0000FF"/>
      <name val="Times New Roman"/>
      <family val="0"/>
      <charset val="1"/>
    </font>
    <font>
      <sz val="10"/>
      <color rgb="FF000000"/>
      <name val="Times New Roman"/>
      <family val="0"/>
      <charset val="1"/>
    </font>
    <font>
      <b val="true"/>
      <sz val="10"/>
      <color rgb="FF0000FF"/>
      <name val="Times New Roman"/>
      <family val="0"/>
      <charset val="1"/>
    </font>
    <font>
      <i val="true"/>
      <sz val="8"/>
      <color rgb="FF666666"/>
      <name val="Times New Roman"/>
      <family val="0"/>
      <charset val="1"/>
    </font>
    <font>
      <b val="true"/>
      <sz val="11"/>
      <color rgb="FFFFFFFF"/>
      <name val="Times New Roman"/>
      <family val="0"/>
      <charset val="1"/>
    </font>
    <font>
      <sz val="11"/>
      <name val="Times New Roman"/>
      <family val="0"/>
      <charset val="1"/>
    </font>
    <font>
      <sz val="11"/>
      <color rgb="FF0000FF"/>
      <name val="Times New Roman"/>
      <family val="0"/>
      <charset val="1"/>
    </font>
    <font>
      <b val="true"/>
      <sz val="11"/>
      <color rgb="FF000000"/>
      <name val="Times New Roman"/>
      <family val="0"/>
      <charset val="1"/>
    </font>
    <font>
      <i val="true"/>
      <sz val="9"/>
      <color rgb="FF6B675C"/>
      <name val="Times New Roman"/>
      <family val="0"/>
      <charset val="1"/>
    </font>
    <font>
      <b val="true"/>
      <i val="true"/>
      <sz val="11"/>
      <name val="Times New Roman"/>
      <family val="0"/>
      <charset val="1"/>
    </font>
    <font>
      <b val="true"/>
      <sz val="12"/>
      <name val="Times New Roman"/>
      <family val="0"/>
      <charset val="1"/>
    </font>
    <font>
      <sz val="11"/>
      <color rgb="FF008000"/>
      <name val="Times New Roman"/>
      <family val="0"/>
      <charset val="1"/>
    </font>
    <font>
      <sz val="9"/>
      <color rgb="FF444444"/>
      <name val="Times New Roman"/>
      <family val="0"/>
      <charset val="1"/>
    </font>
    <font>
      <b val="true"/>
      <sz val="11"/>
      <color rgb="FF008000"/>
      <name val="Times New Roman"/>
      <family val="0"/>
      <charset val="1"/>
    </font>
    <font>
      <b val="true"/>
      <i val="true"/>
      <sz val="10"/>
      <color rgb="FF1F4B44"/>
      <name val="Times New Roman"/>
      <family val="0"/>
      <charset val="1"/>
    </font>
  </fonts>
  <fills count="7">
    <fill>
      <patternFill patternType="none"/>
    </fill>
    <fill>
      <patternFill patternType="gray125"/>
    </fill>
    <fill>
      <patternFill patternType="solid">
        <fgColor rgb="FF1F4B44"/>
        <bgColor rgb="FF444444"/>
      </patternFill>
    </fill>
    <fill>
      <patternFill patternType="solid">
        <fgColor rgb="FFD9E2E0"/>
        <bgColor rgb="FFD9D6C9"/>
      </patternFill>
    </fill>
    <fill>
      <patternFill patternType="solid">
        <fgColor rgb="FFEDEDE8"/>
        <bgColor rgb="FFD9E2E0"/>
      </patternFill>
    </fill>
    <fill>
      <patternFill patternType="solid">
        <fgColor rgb="FFD9D6C9"/>
        <bgColor rgb="FFD9E2E0"/>
      </patternFill>
    </fill>
    <fill>
      <patternFill patternType="solid">
        <fgColor rgb="FFFFFF00"/>
        <bgColor rgb="FFFFFF00"/>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5" fontId="12" fillId="3" borderId="1" xfId="0" applyFont="true" applyBorder="true" applyAlignment="true" applyProtection="false">
      <alignment horizontal="general" vertical="bottom" textRotation="0" wrapText="false" indent="0" shrinkToFit="false"/>
      <protection locked="true" hidden="false"/>
    </xf>
    <xf numFmtId="166" fontId="12" fillId="3" borderId="1" xfId="0" applyFont="true" applyBorder="true" applyAlignment="tru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5" fontId="20" fillId="4"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6" fontId="20" fillId="4"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6" fontId="19" fillId="6"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8" fontId="19" fillId="6" borderId="0" xfId="0" applyFont="true" applyBorder="false" applyAlignment="true" applyProtection="false">
      <alignment horizontal="general" vertical="bottom" textRotation="0" wrapText="false" indent="0" shrinkToFit="false"/>
      <protection locked="true" hidden="false"/>
    </xf>
    <xf numFmtId="165" fontId="19" fillId="6"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65" fontId="26" fillId="4"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6B675C"/>
      <rgbColor rgb="FF9999FF"/>
      <rgbColor rgb="FF993366"/>
      <rgbColor rgb="FFEDEDE8"/>
      <rgbColor rgb="FFCCFFFF"/>
      <rgbColor rgb="FF660066"/>
      <rgbColor rgb="FFFF8080"/>
      <rgbColor rgb="FF0066CC"/>
      <rgbColor rgb="FFD9D6C9"/>
      <rgbColor rgb="FF000080"/>
      <rgbColor rgb="FFFF00FF"/>
      <rgbColor rgb="FFFFFF00"/>
      <rgbColor rgb="FF00FFFF"/>
      <rgbColor rgb="FF800080"/>
      <rgbColor rgb="FF800000"/>
      <rgbColor rgb="FF008080"/>
      <rgbColor rgb="FF0000FF"/>
      <rgbColor rgb="FF00CCFF"/>
      <rgbColor rgb="FFCCFFFF"/>
      <rgbColor rgb="FFD9E2E0"/>
      <rgbColor rgb="FFFFFF99"/>
      <rgbColor rgb="FF99CCFF"/>
      <rgbColor rgb="FFFF99CC"/>
      <rgbColor rgb="FFCC99FF"/>
      <rgbColor rgb="FFFFCC99"/>
      <rgbColor rgb="FF4472C4"/>
      <rgbColor rgb="FF33CCCC"/>
      <rgbColor rgb="FF99CC00"/>
      <rgbColor rgb="FFFFCC00"/>
      <rgbColor rgb="FFFF9900"/>
      <rgbColor rgb="FFED7D31"/>
      <rgbColor rgb="FF666666"/>
      <rgbColor rgb="FF969696"/>
      <rgbColor rgb="FF1F4B44"/>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1" width="255.71"/>
    <col collapsed="false" customWidth="false" hidden="false" outlineLevel="0" max="16384" min="2" style="1" width="8.71"/>
  </cols>
  <sheetData>
    <row r="1" customFormat="false" ht="17.25" hidden="false" customHeight="true" outlineLevel="0" collapsed="false">
      <c r="A1" s="2" t="s">
        <v>0</v>
      </c>
    </row>
    <row r="2" customFormat="false" ht="14.25" hidden="false" customHeight="true" outlineLevel="0" collapsed="false">
      <c r="A2" s="3"/>
    </row>
    <row r="3" customFormat="false" ht="15" hidden="false" customHeight="true" outlineLevel="0" collapsed="false">
      <c r="A3" s="4" t="s">
        <v>1</v>
      </c>
    </row>
    <row r="4" customFormat="false" ht="45" hidden="false" customHeight="true" outlineLevel="0" collapsed="false">
      <c r="A4" s="5" t="s">
        <v>2</v>
      </c>
    </row>
    <row r="5" customFormat="false" ht="14.25" hidden="false" customHeight="true" outlineLevel="0" collapsed="false">
      <c r="A5" s="3"/>
    </row>
    <row r="6" customFormat="false" ht="15" hidden="false" customHeight="true" outlineLevel="0" collapsed="false">
      <c r="A6" s="4" t="s">
        <v>3</v>
      </c>
    </row>
    <row r="7" customFormat="false" ht="30" hidden="false" customHeight="true" outlineLevel="0" collapsed="false">
      <c r="A7" s="5" t="s">
        <v>4</v>
      </c>
    </row>
    <row r="8" customFormat="false" ht="30" hidden="false" customHeight="true" outlineLevel="0" collapsed="false">
      <c r="A8" s="5" t="s">
        <v>5</v>
      </c>
    </row>
    <row r="9" customFormat="false" ht="30" hidden="false" customHeight="true" outlineLevel="0" collapsed="false">
      <c r="A9" s="5" t="s">
        <v>6</v>
      </c>
    </row>
    <row r="10" customFormat="false" ht="45" hidden="false" customHeight="true" outlineLevel="0" collapsed="false">
      <c r="A10" s="5" t="s">
        <v>7</v>
      </c>
    </row>
    <row r="11" customFormat="false" ht="45" hidden="false" customHeight="true" outlineLevel="0" collapsed="false">
      <c r="A11" s="5" t="s">
        <v>8</v>
      </c>
    </row>
    <row r="12" customFormat="false" ht="60" hidden="false" customHeight="true" outlineLevel="0" collapsed="false">
      <c r="A12" s="5" t="s">
        <v>9</v>
      </c>
    </row>
    <row r="13" customFormat="false" ht="60" hidden="false" customHeight="true" outlineLevel="0" collapsed="false">
      <c r="A13" s="5" t="s">
        <v>10</v>
      </c>
    </row>
    <row r="14" customFormat="false" ht="54.75" hidden="false" customHeight="true" outlineLevel="0" collapsed="false">
      <c r="A14" s="3"/>
    </row>
    <row r="15" customFormat="false" ht="14.25" hidden="false" customHeight="true" outlineLevel="0" collapsed="false">
      <c r="A15" s="4" t="s">
        <v>11</v>
      </c>
    </row>
    <row r="16" customFormat="false" ht="15" hidden="false" customHeight="true" outlineLevel="0" collapsed="false">
      <c r="A16" s="6" t="s">
        <v>12</v>
      </c>
    </row>
    <row r="17" customFormat="false" ht="45" hidden="false" customHeight="true" outlineLevel="0" collapsed="false">
      <c r="A17" s="6" t="s">
        <v>13</v>
      </c>
    </row>
    <row r="18" customFormat="false" ht="45" hidden="false" customHeight="true" outlineLevel="0" collapsed="false">
      <c r="A18" s="3" t="s">
        <v>14</v>
      </c>
    </row>
    <row r="19" customFormat="false" ht="45" hidden="false" customHeight="true" outlineLevel="0" collapsed="false">
      <c r="A19" s="3"/>
    </row>
    <row r="20" customFormat="false" ht="45" hidden="false" customHeight="true" outlineLevel="0" collapsed="false">
      <c r="A20" s="4" t="s">
        <v>15</v>
      </c>
    </row>
    <row r="21" customFormat="false" ht="14.25" hidden="false" customHeight="true" outlineLevel="0" collapsed="false">
      <c r="A21" s="5" t="s">
        <v>16</v>
      </c>
    </row>
    <row r="22" customFormat="false" ht="14.25" hidden="false" customHeight="true" outlineLevel="0" collapsed="false">
      <c r="A22" s="5" t="s">
        <v>17</v>
      </c>
    </row>
    <row r="23" customFormat="false" ht="60" hidden="false" customHeight="true" outlineLevel="0" collapsed="false">
      <c r="A23" s="5" t="s">
        <v>18</v>
      </c>
    </row>
    <row r="24" customFormat="false" ht="14.25" hidden="false" customHeight="true" outlineLevel="0" collapsed="false">
      <c r="A24" s="5" t="s">
        <v>19</v>
      </c>
    </row>
    <row r="25" customFormat="false" ht="14.25" hidden="false" customHeight="true" outlineLevel="0" collapsed="false">
      <c r="A25" s="7" t="s">
        <v>20</v>
      </c>
    </row>
    <row r="26" customFormat="false" ht="4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26" min="2" style="8" width="13"/>
  </cols>
  <sheetData>
    <row r="1" customFormat="false" ht="17.25" hidden="false" customHeight="true" outlineLevel="0" collapsed="false">
      <c r="A1" s="9" t="s">
        <v>21</v>
      </c>
      <c r="B1" s="9"/>
      <c r="C1" s="9"/>
      <c r="D1" s="9"/>
      <c r="E1" s="9"/>
      <c r="F1" s="9"/>
      <c r="G1" s="9"/>
      <c r="H1" s="9"/>
      <c r="I1" s="9"/>
      <c r="J1" s="9"/>
      <c r="K1" s="9"/>
      <c r="L1" s="9"/>
      <c r="M1" s="9"/>
      <c r="N1" s="9"/>
      <c r="O1" s="9"/>
      <c r="P1" s="9"/>
      <c r="Q1" s="9"/>
      <c r="R1" s="9"/>
      <c r="S1" s="9"/>
      <c r="T1" s="9"/>
      <c r="U1" s="9"/>
      <c r="V1" s="9"/>
      <c r="W1" s="9"/>
      <c r="X1" s="9"/>
      <c r="Y1" s="9"/>
      <c r="Z1" s="9"/>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row>
    <row r="3" customFormat="false" ht="45" hidden="false" customHeight="true" outlineLevel="0" collapsed="false">
      <c r="A3" s="10" t="s">
        <v>22</v>
      </c>
      <c r="B3" s="10" t="s">
        <v>23</v>
      </c>
      <c r="C3" s="10" t="s">
        <v>24</v>
      </c>
      <c r="D3" s="10" t="s">
        <v>25</v>
      </c>
      <c r="E3" s="10" t="s">
        <v>26</v>
      </c>
      <c r="F3" s="10" t="s">
        <v>27</v>
      </c>
      <c r="G3" s="10" t="s">
        <v>28</v>
      </c>
      <c r="H3" s="10" t="s">
        <v>29</v>
      </c>
      <c r="I3" s="10" t="s">
        <v>30</v>
      </c>
      <c r="J3" s="10" t="s">
        <v>31</v>
      </c>
      <c r="K3" s="10" t="s">
        <v>32</v>
      </c>
      <c r="L3" s="10" t="s">
        <v>33</v>
      </c>
      <c r="M3" s="10" t="s">
        <v>34</v>
      </c>
      <c r="N3" s="10" t="s">
        <v>35</v>
      </c>
      <c r="O3" s="10" t="s">
        <v>36</v>
      </c>
      <c r="P3" s="10" t="s">
        <v>37</v>
      </c>
      <c r="Q3" s="10" t="s">
        <v>38</v>
      </c>
      <c r="R3" s="10" t="s">
        <v>39</v>
      </c>
      <c r="S3" s="10" t="s">
        <v>40</v>
      </c>
      <c r="T3" s="10" t="s">
        <v>41</v>
      </c>
      <c r="U3" s="10" t="s">
        <v>42</v>
      </c>
      <c r="V3" s="10" t="s">
        <v>43</v>
      </c>
      <c r="W3" s="10" t="s">
        <v>44</v>
      </c>
      <c r="X3" s="10" t="s">
        <v>45</v>
      </c>
      <c r="Y3" s="10" t="s">
        <v>46</v>
      </c>
      <c r="Z3" s="10" t="s">
        <v>47</v>
      </c>
    </row>
    <row r="4" customFormat="false" ht="15" hidden="false" customHeight="true" outlineLevel="0" collapsed="false">
      <c r="A4" s="11" t="s">
        <v>48</v>
      </c>
      <c r="B4" s="12" t="n">
        <v>23693</v>
      </c>
      <c r="C4" s="12" t="n">
        <v>26328</v>
      </c>
      <c r="D4" s="12" t="n">
        <v>25995</v>
      </c>
      <c r="E4" s="12" t="n">
        <v>25336</v>
      </c>
      <c r="F4" s="13" t="n">
        <f aca="false">IFERROR(C4/B4-1,"")</f>
        <v>0.111214282699531</v>
      </c>
      <c r="G4" s="13" t="n">
        <f aca="false">IFERROR(D4/C4-1,"")</f>
        <v>-0.0126481312670921</v>
      </c>
      <c r="H4" s="13" t="n">
        <f aca="false">IFERROR(E4/D4-1,"")</f>
        <v>-0.025351029044047</v>
      </c>
      <c r="I4" s="12" t="n">
        <v>4804</v>
      </c>
      <c r="J4" s="12" t="n">
        <v>5528</v>
      </c>
      <c r="K4" s="12" t="n">
        <v>5768</v>
      </c>
      <c r="L4" s="12" t="n">
        <v>5640</v>
      </c>
      <c r="M4" s="13" t="n">
        <f aca="false">IFERROR(I4/B4,"")</f>
        <v>0.202760308952011</v>
      </c>
      <c r="N4" s="13" t="n">
        <f aca="false">IFERROR(J4/C4,"")</f>
        <v>0.209966575508964</v>
      </c>
      <c r="O4" s="13" t="n">
        <f aca="false">IFERROR(K4/D4,"")</f>
        <v>0.221888824773995</v>
      </c>
      <c r="P4" s="13" t="n">
        <f aca="false">IFERROR(L4/E4,"")</f>
        <v>0.222608146510894</v>
      </c>
      <c r="Q4" s="14" t="n">
        <v>-0.013</v>
      </c>
      <c r="R4" s="14" t="n">
        <v>0.116</v>
      </c>
      <c r="S4" s="14" t="n">
        <v>0.103</v>
      </c>
      <c r="T4" s="14" t="n">
        <v>-0.038</v>
      </c>
      <c r="U4" s="14" t="n">
        <v>0.047</v>
      </c>
      <c r="V4" s="14" t="n">
        <v>-0.008</v>
      </c>
      <c r="W4" s="14" t="n">
        <v>0.004</v>
      </c>
      <c r="X4" s="14" t="n">
        <v>-0.005</v>
      </c>
      <c r="Y4" s="14" t="n">
        <v>-0.001</v>
      </c>
      <c r="Z4" s="14" t="n">
        <v>-0.02</v>
      </c>
    </row>
    <row r="5" customFormat="false" ht="15" hidden="false" customHeight="true" outlineLevel="0" collapsed="false">
      <c r="A5" s="11" t="s">
        <v>49</v>
      </c>
      <c r="B5" s="12" t="n">
        <v>18794</v>
      </c>
      <c r="C5" s="12" t="n">
        <v>19128</v>
      </c>
      <c r="D5" s="12" t="n">
        <v>19098</v>
      </c>
      <c r="E5" s="12" t="n">
        <v>18910</v>
      </c>
      <c r="F5" s="13" t="n">
        <f aca="false">IFERROR(C5/B5-1,"")</f>
        <v>0.0177716292433756</v>
      </c>
      <c r="G5" s="13" t="n">
        <f aca="false">IFERROR(D5/C5-1,"")</f>
        <v>-0.00156838143036386</v>
      </c>
      <c r="H5" s="13" t="n">
        <f aca="false">IFERROR(E5/D5-1,"")</f>
        <v>-0.00984396271860932</v>
      </c>
      <c r="I5" s="12" t="n">
        <v>3439</v>
      </c>
      <c r="J5" s="12" t="n">
        <v>3138</v>
      </c>
      <c r="K5" s="12" t="n">
        <v>3127</v>
      </c>
      <c r="L5" s="12" t="n">
        <v>3192</v>
      </c>
      <c r="M5" s="13" t="n">
        <f aca="false">IFERROR(I5/B5,"")</f>
        <v>0.182983931041822</v>
      </c>
      <c r="N5" s="13" t="n">
        <f aca="false">IFERROR(J5/C5,"")</f>
        <v>0.16405269761606</v>
      </c>
      <c r="O5" s="13" t="n">
        <f aca="false">IFERROR(K5/D5,"")</f>
        <v>0.163734422452613</v>
      </c>
      <c r="P5" s="13" t="n">
        <f aca="false">IFERROR(L5/E5,"")</f>
        <v>0.168799576943416</v>
      </c>
      <c r="Q5" s="14" t="n">
        <v>0.009</v>
      </c>
      <c r="R5" s="14" t="n">
        <v>0.064</v>
      </c>
      <c r="S5" s="14" t="n">
        <v>0.072</v>
      </c>
      <c r="T5" s="14" t="n">
        <v>0.021</v>
      </c>
      <c r="U5" s="14" t="n">
        <v>-0.076</v>
      </c>
      <c r="V5" s="14" t="n">
        <v>0.008</v>
      </c>
      <c r="W5" s="14" t="n">
        <v>0.025</v>
      </c>
      <c r="X5" s="14" t="n">
        <v>0.033</v>
      </c>
      <c r="Y5" s="14" t="n">
        <v>-0.019</v>
      </c>
      <c r="Z5" s="14" t="n">
        <v>-0.025</v>
      </c>
    </row>
    <row r="6" customFormat="false" ht="15" hidden="false" customHeight="true" outlineLevel="0" collapsed="false">
      <c r="A6" s="11" t="s">
        <v>50</v>
      </c>
      <c r="B6" s="12" t="n">
        <v>17894</v>
      </c>
      <c r="C6" s="12" t="n">
        <v>18484</v>
      </c>
      <c r="D6" s="12" t="n">
        <v>17519</v>
      </c>
      <c r="E6" s="12" t="n">
        <v>16793</v>
      </c>
      <c r="F6" s="13" t="n">
        <f aca="false">IFERROR(C6/B6-1,"")</f>
        <v>0.0329719459036548</v>
      </c>
      <c r="G6" s="13" t="n">
        <f aca="false">IFERROR(D6/C6-1,"")</f>
        <v>-0.0522073144341052</v>
      </c>
      <c r="H6" s="13" t="n">
        <f aca="false">IFERROR(E6/D6-1,"")</f>
        <v>-0.0414407215023689</v>
      </c>
      <c r="I6" s="12" t="n">
        <v>4288</v>
      </c>
      <c r="J6" s="12" t="n">
        <v>4237</v>
      </c>
      <c r="K6" s="12" t="n">
        <v>4109</v>
      </c>
      <c r="L6" s="12" t="n">
        <v>3916</v>
      </c>
      <c r="M6" s="13" t="n">
        <f aca="false">IFERROR(I6/B6,"")</f>
        <v>0.239633396669275</v>
      </c>
      <c r="N6" s="13" t="n">
        <f aca="false">IFERROR(J6/C6,"")</f>
        <v>0.229225275914304</v>
      </c>
      <c r="O6" s="13" t="n">
        <f aca="false">IFERROR(K6/D6,"")</f>
        <v>0.23454535076203</v>
      </c>
      <c r="P6" s="13" t="n">
        <f aca="false">IFERROR(L6/E6,"")</f>
        <v>0.233192401595903</v>
      </c>
      <c r="Q6" s="14" t="n">
        <v>0.001</v>
      </c>
      <c r="R6" s="14" t="n">
        <v>0.081</v>
      </c>
      <c r="S6" s="14" t="n">
        <v>0.082</v>
      </c>
      <c r="T6" s="14" t="n">
        <v>-0.001</v>
      </c>
      <c r="U6" s="14" t="n">
        <v>-0.049</v>
      </c>
      <c r="V6" s="14" t="n">
        <v>0.006</v>
      </c>
      <c r="W6" s="14" t="n">
        <v>0.028</v>
      </c>
      <c r="X6" s="14" t="n">
        <v>0.034</v>
      </c>
      <c r="Y6" s="14" t="n">
        <v>0</v>
      </c>
      <c r="Z6" s="14" t="n">
        <v>-0.075</v>
      </c>
    </row>
    <row r="7" customFormat="false" ht="15" hidden="false" customHeight="true" outlineLevel="0" collapsed="false">
      <c r="A7" s="11" t="s">
        <v>51</v>
      </c>
      <c r="B7" s="12" t="n">
        <v>10086</v>
      </c>
      <c r="C7" s="12" t="n">
        <v>11819</v>
      </c>
      <c r="D7" s="12" t="n">
        <v>12196</v>
      </c>
      <c r="E7" s="12" t="n">
        <v>11933</v>
      </c>
      <c r="F7" s="13" t="n">
        <f aca="false">IFERROR(C7/B7-1,"")</f>
        <v>0.171822327979377</v>
      </c>
      <c r="G7" s="13" t="n">
        <f aca="false">IFERROR(D7/C7-1,"")</f>
        <v>0.0318977916913445</v>
      </c>
      <c r="H7" s="13" t="n">
        <f aca="false">IFERROR(E7/D7-1,"")</f>
        <v>-0.0215644473597901</v>
      </c>
      <c r="I7" s="12" t="n">
        <v>2208</v>
      </c>
      <c r="J7" s="12" t="n">
        <v>2501</v>
      </c>
      <c r="K7" s="12" t="n">
        <v>2520</v>
      </c>
      <c r="L7" s="12" t="n">
        <v>2429</v>
      </c>
      <c r="M7" s="13" t="n">
        <f aca="false">IFERROR(I7/B7,"")</f>
        <v>0.218917311124331</v>
      </c>
      <c r="N7" s="13" t="n">
        <f aca="false">IFERROR(J7/C7,"")</f>
        <v>0.211608427108892</v>
      </c>
      <c r="O7" s="13" t="n">
        <f aca="false">IFERROR(K7/D7,"")</f>
        <v>0.206625122991145</v>
      </c>
      <c r="P7" s="13" t="n">
        <f aca="false">IFERROR(L7/E7,"")</f>
        <v>0.203553171876309</v>
      </c>
      <c r="Q7" s="14" t="n">
        <v>0.015</v>
      </c>
      <c r="R7" s="14" t="n">
        <v>0.116</v>
      </c>
      <c r="S7" s="14" t="n">
        <v>0.131</v>
      </c>
      <c r="T7" s="14" t="n">
        <v>0.001</v>
      </c>
      <c r="U7" s="14" t="n">
        <v>0.04</v>
      </c>
      <c r="V7" s="14" t="n">
        <v>-0.003</v>
      </c>
      <c r="W7" s="14" t="n">
        <v>0.027</v>
      </c>
      <c r="X7" s="14" t="n">
        <v>0.025</v>
      </c>
      <c r="Y7" s="14" t="n">
        <v>0.004</v>
      </c>
      <c r="Z7" s="14" t="n">
        <v>-0.049</v>
      </c>
    </row>
    <row r="8" customFormat="false" ht="15" hidden="false" customHeight="true" outlineLevel="0" collapsed="false">
      <c r="A8" s="11" t="s">
        <v>52</v>
      </c>
      <c r="B8" s="12" t="n">
        <v>5175</v>
      </c>
      <c r="C8" s="12" t="n">
        <v>5351</v>
      </c>
      <c r="D8" s="12" t="n">
        <v>5037</v>
      </c>
      <c r="E8" s="12" t="n">
        <v>4973</v>
      </c>
      <c r="F8" s="13" t="n">
        <f aca="false">IFERROR(C8/B8-1,"")</f>
        <v>0.0340096618357488</v>
      </c>
      <c r="G8" s="13" t="n">
        <f aca="false">IFERROR(D8/C8-1,"")</f>
        <v>-0.0586806204447767</v>
      </c>
      <c r="H8" s="13" t="n">
        <f aca="false">IFERROR(E8/D8-1,"")</f>
        <v>-0.0127059757792337</v>
      </c>
      <c r="I8" s="12" t="n">
        <v>700</v>
      </c>
      <c r="J8" s="12" t="n">
        <v>862</v>
      </c>
      <c r="K8" s="12" t="n">
        <v>832</v>
      </c>
      <c r="L8" s="12" t="n">
        <v>803</v>
      </c>
      <c r="M8" s="13" t="n">
        <f aca="false">IFERROR(I8/B8,"")</f>
        <v>0.135265700483092</v>
      </c>
      <c r="N8" s="13" t="n">
        <f aca="false">IFERROR(J8/C8,"")</f>
        <v>0.16109138478789</v>
      </c>
      <c r="O8" s="13" t="n">
        <f aca="false">IFERROR(K8/D8,"")</f>
        <v>0.165177685130038</v>
      </c>
      <c r="P8" s="13" t="n">
        <f aca="false">IFERROR(L8/E8,"")</f>
        <v>0.161471948522019</v>
      </c>
      <c r="Q8" s="14" t="n">
        <v>0.01</v>
      </c>
      <c r="R8" s="14" t="n">
        <v>0.025</v>
      </c>
      <c r="S8" s="14" t="n">
        <v>0.035</v>
      </c>
      <c r="T8" s="14" t="n">
        <v>0</v>
      </c>
      <c r="U8" s="14" t="n">
        <v>-0.001</v>
      </c>
      <c r="V8" s="14" t="n">
        <v>0.043</v>
      </c>
      <c r="W8" s="14" t="n">
        <v>-0.021</v>
      </c>
      <c r="X8" s="14" t="n">
        <v>0.021</v>
      </c>
      <c r="Y8" s="14" t="n">
        <v>0.001</v>
      </c>
      <c r="Z8" s="14" t="n">
        <v>-0.035</v>
      </c>
    </row>
    <row r="9" customFormat="false" ht="15" hidden="false" customHeight="true" outlineLevel="0" collapsed="false">
      <c r="A9" s="11" t="s">
        <v>53</v>
      </c>
      <c r="B9" s="12" t="n">
        <v>4822</v>
      </c>
      <c r="C9" s="12" t="n">
        <v>6602</v>
      </c>
      <c r="D9" s="12" t="n">
        <v>6498</v>
      </c>
      <c r="E9" s="12" t="n">
        <v>6739</v>
      </c>
      <c r="F9" s="13" t="n">
        <f aca="false">IFERROR(C9/B9-1,"")</f>
        <v>0.369141435089175</v>
      </c>
      <c r="G9" s="13" t="n">
        <f aca="false">IFERROR(D9/C9-1,"")</f>
        <v>-0.0157528021811573</v>
      </c>
      <c r="H9" s="13" t="n">
        <f aca="false">IFERROR(E9/D9-1,"")</f>
        <v>0.0370883348722684</v>
      </c>
      <c r="I9" s="12" t="n">
        <v>654</v>
      </c>
      <c r="J9" s="12" t="n">
        <v>899</v>
      </c>
      <c r="K9" s="12" t="n">
        <v>777</v>
      </c>
      <c r="L9" s="12" t="n">
        <v>943</v>
      </c>
      <c r="M9" s="13" t="n">
        <f aca="false">IFERROR(I9/B9,"")</f>
        <v>0.135628369970966</v>
      </c>
      <c r="N9" s="13" t="n">
        <f aca="false">IFERROR(J9/C9,"")</f>
        <v>0.136170857315965</v>
      </c>
      <c r="O9" s="13" t="n">
        <f aca="false">IFERROR(K9/D9,"")</f>
        <v>0.119575253924284</v>
      </c>
      <c r="P9" s="13" t="n">
        <f aca="false">IFERROR(L9/E9,"")</f>
        <v>0.139931740614334</v>
      </c>
      <c r="Q9" s="14" t="n">
        <v>0.006</v>
      </c>
      <c r="R9" s="14" t="n">
        <v>0.034</v>
      </c>
      <c r="S9" s="14" t="n">
        <v>0.04</v>
      </c>
      <c r="T9" s="14" t="n">
        <v>0.315</v>
      </c>
      <c r="U9" s="14" t="n">
        <v>0.015</v>
      </c>
      <c r="V9" s="14" t="n">
        <v>0.055</v>
      </c>
      <c r="W9" s="14" t="n">
        <v>0.007</v>
      </c>
      <c r="X9" s="14" t="n">
        <v>0.062</v>
      </c>
      <c r="Y9" s="14" t="n">
        <v>0.002</v>
      </c>
      <c r="Z9" s="14" t="n">
        <v>-0.028</v>
      </c>
    </row>
    <row r="10" customFormat="false" ht="15" hidden="false" customHeight="true" outlineLevel="0" collapsed="false">
      <c r="A10" s="11" t="s">
        <v>54</v>
      </c>
      <c r="B10" s="12" t="n">
        <v>6418</v>
      </c>
      <c r="C10" s="12" t="n">
        <v>6448</v>
      </c>
      <c r="D10" s="12" t="n">
        <v>6372</v>
      </c>
      <c r="E10" s="12" t="n">
        <v>6378</v>
      </c>
      <c r="F10" s="13" t="n">
        <f aca="false">IFERROR(C10/B10-1,"")</f>
        <v>0.00467435338111555</v>
      </c>
      <c r="G10" s="13" t="n">
        <f aca="false">IFERROR(D10/C10-1,"")</f>
        <v>-0.0117866004962779</v>
      </c>
      <c r="H10" s="13" t="n">
        <f aca="false">IFERROR(E10/D10-1,"")</f>
        <v>0.000941619585687281</v>
      </c>
      <c r="I10" s="12" t="n">
        <v>1475</v>
      </c>
      <c r="J10" s="12" t="n">
        <v>1388</v>
      </c>
      <c r="K10" s="12" t="n">
        <v>1291</v>
      </c>
      <c r="L10" s="12" t="n">
        <v>1278</v>
      </c>
      <c r="M10" s="13" t="n">
        <f aca="false">IFERROR(I10/B10,"")</f>
        <v>0.229822374571518</v>
      </c>
      <c r="N10" s="13" t="n">
        <f aca="false">IFERROR(J10/C10,"")</f>
        <v>0.215260545905707</v>
      </c>
      <c r="O10" s="13" t="n">
        <f aca="false">IFERROR(K10/D10,"")</f>
        <v>0.202605147520402</v>
      </c>
      <c r="P10" s="13" t="n">
        <f aca="false">IFERROR(L10/E10,"")</f>
        <v>0.200376293508937</v>
      </c>
      <c r="Q10" s="14" t="n">
        <v>-0.017</v>
      </c>
      <c r="R10" s="14" t="n">
        <v>0.052</v>
      </c>
      <c r="S10" s="14" t="n">
        <v>0.035</v>
      </c>
      <c r="T10" s="14" t="n">
        <v>-0.003</v>
      </c>
      <c r="U10" s="14" t="n">
        <v>-0.027</v>
      </c>
      <c r="V10" s="14" t="n">
        <v>0.016</v>
      </c>
      <c r="W10" s="14" t="n">
        <v>0.006</v>
      </c>
      <c r="X10" s="14" t="n">
        <v>0.022</v>
      </c>
      <c r="Y10" s="14" t="n">
        <v>0.002</v>
      </c>
      <c r="Z10" s="14" t="n">
        <v>-0.024</v>
      </c>
    </row>
    <row r="11" customFormat="false" ht="15" hidden="false" customHeight="true" outlineLevel="0" collapsed="false">
      <c r="A11" s="11" t="s">
        <v>55</v>
      </c>
      <c r="B11" s="12" t="n">
        <v>206</v>
      </c>
      <c r="C11" s="12" t="n">
        <v>264</v>
      </c>
      <c r="D11" s="12" t="n">
        <v>283</v>
      </c>
      <c r="E11" s="12" t="n">
        <v>292</v>
      </c>
      <c r="F11" s="13" t="n">
        <f aca="false">IFERROR(C11/B11-1,"")</f>
        <v>0.281553398058253</v>
      </c>
      <c r="G11" s="13" t="n">
        <f aca="false">IFERROR(D11/C11-1,"")</f>
        <v>0.071969696969697</v>
      </c>
      <c r="H11" s="13" t="n">
        <f aca="false">IFERROR(E11/D11-1,"")</f>
        <v>0.0318021201413428</v>
      </c>
      <c r="I11" s="12" t="n">
        <v>-32</v>
      </c>
      <c r="J11" s="12" t="n">
        <v>-17</v>
      </c>
      <c r="K11" s="12" t="n">
        <v>-12</v>
      </c>
      <c r="L11" s="12" t="n">
        <v>-13</v>
      </c>
      <c r="M11" s="13" t="n">
        <f aca="false">IFERROR(I11/B11,"")</f>
        <v>-0.155339805825243</v>
      </c>
      <c r="N11" s="13" t="n">
        <f aca="false">IFERROR(J11/C11,"")</f>
        <v>-0.0643939393939394</v>
      </c>
      <c r="O11" s="13" t="n">
        <f aca="false">IFERROR(K11/D11,"")</f>
        <v>-0.0424028268551237</v>
      </c>
      <c r="P11" s="13" t="n">
        <f aca="false">IFERROR(L11/E11,"")</f>
        <v>-0.0445205479452055</v>
      </c>
      <c r="Q11" s="14" t="n">
        <v>0.252</v>
      </c>
      <c r="R11" s="14" t="n">
        <v>0.032</v>
      </c>
      <c r="S11" s="14" t="n">
        <v>0.284</v>
      </c>
      <c r="T11" s="14" t="n">
        <v>0</v>
      </c>
      <c r="U11" s="14" t="n">
        <v>-0.001</v>
      </c>
      <c r="V11" s="14" t="n">
        <v>0.053</v>
      </c>
      <c r="W11" s="14" t="n">
        <v>0.013</v>
      </c>
      <c r="X11" s="14" t="n">
        <v>0.066</v>
      </c>
      <c r="Y11" s="14" t="n">
        <v>0</v>
      </c>
      <c r="Z11" s="14" t="n">
        <v>-0.027</v>
      </c>
    </row>
    <row r="12" customFormat="false" ht="15" hidden="false" customHeight="true" outlineLevel="0" collapsed="false">
      <c r="A12" s="15" t="s">
        <v>56</v>
      </c>
      <c r="B12" s="16" t="n">
        <f aca="false">SUM(B4:B11)</f>
        <v>87088</v>
      </c>
      <c r="C12" s="16" t="n">
        <f aca="false">SUM(C4:C11)</f>
        <v>94424</v>
      </c>
      <c r="D12" s="16" t="n">
        <f aca="false">SUM(D4:D11)</f>
        <v>92998</v>
      </c>
      <c r="E12" s="16" t="n">
        <f aca="false">SUM(E4:E11)</f>
        <v>91354</v>
      </c>
      <c r="F12" s="17" t="n">
        <f aca="false">IFERROR(C12/B12-1,"")</f>
        <v>0.0842366342090759</v>
      </c>
      <c r="G12" s="17" t="n">
        <f aca="false">IFERROR(D12/C12-1,"")</f>
        <v>-0.0151020926882995</v>
      </c>
      <c r="H12" s="17" t="n">
        <f aca="false">IFERROR(E12/D12-1,"")</f>
        <v>-0.0176777995225704</v>
      </c>
      <c r="I12" s="18" t="n">
        <v>15119</v>
      </c>
      <c r="J12" s="18" t="n">
        <v>16103</v>
      </c>
      <c r="K12" s="18" t="n">
        <v>16053</v>
      </c>
      <c r="L12" s="18" t="n">
        <v>15704</v>
      </c>
      <c r="M12" s="17" t="n">
        <f aca="false">IFERROR(I12/B12,"")</f>
        <v>0.173606007716333</v>
      </c>
      <c r="N12" s="17" t="n">
        <f aca="false">IFERROR(J12/C12,"")</f>
        <v>0.170539269677201</v>
      </c>
      <c r="O12" s="17" t="n">
        <f aca="false">IFERROR(K12/D12,"")</f>
        <v>0.172616615411084</v>
      </c>
      <c r="P12" s="17" t="n">
        <f aca="false">IFERROR(L12/E12,"")</f>
        <v>0.171902708146332</v>
      </c>
      <c r="Q12" s="19" t="n">
        <v>0.001</v>
      </c>
      <c r="R12" s="19" t="n">
        <v>0.082</v>
      </c>
      <c r="S12" s="19" t="n">
        <v>0.083</v>
      </c>
      <c r="T12" s="19" t="n">
        <v>0.011</v>
      </c>
      <c r="U12" s="19" t="n">
        <v>-0.009</v>
      </c>
      <c r="V12" s="19" t="n">
        <v>0.008</v>
      </c>
      <c r="W12" s="19" t="n">
        <v>0.015</v>
      </c>
      <c r="X12" s="19" t="n">
        <v>0.022</v>
      </c>
      <c r="Y12" s="19" t="n">
        <v>-0.003</v>
      </c>
      <c r="Z12" s="19" t="n">
        <v>-0.037</v>
      </c>
    </row>
    <row r="13" customFormat="false" ht="15" hidden="false" customHeight="tru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row>
    <row r="14" customFormat="false" ht="15" hidden="false" customHeight="true" outlineLevel="0" collapsed="false">
      <c r="A14" s="20" t="s">
        <v>57</v>
      </c>
      <c r="B14" s="20"/>
      <c r="C14" s="20"/>
      <c r="D14" s="20"/>
      <c r="E14" s="20"/>
      <c r="F14" s="20"/>
      <c r="G14" s="20"/>
      <c r="H14" s="20"/>
      <c r="I14" s="20"/>
      <c r="J14" s="20"/>
      <c r="K14" s="3"/>
      <c r="L14" s="3"/>
      <c r="M14" s="3"/>
      <c r="N14" s="3"/>
      <c r="O14" s="3"/>
      <c r="P14" s="3"/>
      <c r="Q14" s="3"/>
      <c r="R14" s="3"/>
      <c r="S14" s="3"/>
      <c r="T14" s="3"/>
      <c r="U14" s="3"/>
      <c r="V14" s="3"/>
      <c r="W14" s="3"/>
      <c r="X14" s="3"/>
      <c r="Y14" s="3"/>
      <c r="Z14" s="3"/>
    </row>
    <row r="15" customFormat="false" ht="30" hidden="false" customHeight="true" outlineLevel="0" collapsed="false">
      <c r="A15" s="21" t="s">
        <v>58</v>
      </c>
      <c r="B15" s="21"/>
      <c r="C15" s="21"/>
      <c r="D15" s="21"/>
      <c r="E15" s="21"/>
      <c r="F15" s="21"/>
      <c r="G15" s="21"/>
      <c r="H15" s="21"/>
      <c r="I15" s="21"/>
      <c r="J15" s="21"/>
      <c r="K15" s="21"/>
      <c r="L15" s="21"/>
      <c r="M15" s="21"/>
      <c r="N15" s="21"/>
      <c r="O15" s="3"/>
      <c r="P15" s="3"/>
      <c r="Q15" s="3"/>
      <c r="R15" s="3"/>
      <c r="S15" s="3"/>
      <c r="T15" s="3"/>
      <c r="U15" s="3"/>
      <c r="V15" s="3"/>
      <c r="W15" s="3"/>
      <c r="X15" s="3"/>
      <c r="Y15" s="3"/>
      <c r="Z15" s="3"/>
    </row>
  </sheetData>
  <mergeCells count="3">
    <mergeCell ref="A1:Z1"/>
    <mergeCell ref="A14:J14"/>
    <mergeCell ref="A15:N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8" width="26"/>
    <col collapsed="false" customWidth="true" hidden="false" outlineLevel="0" max="22" min="2" style="8" width="13"/>
  </cols>
  <sheetData>
    <row r="1" customFormat="false" ht="17.25" hidden="false" customHeight="true" outlineLevel="0" collapsed="false">
      <c r="A1" s="9" t="s">
        <v>59</v>
      </c>
      <c r="B1" s="9"/>
      <c r="C1" s="9"/>
      <c r="D1" s="9"/>
      <c r="E1" s="9"/>
      <c r="F1" s="9"/>
      <c r="G1" s="9"/>
      <c r="H1" s="9"/>
      <c r="I1" s="9"/>
      <c r="J1" s="9"/>
      <c r="K1" s="9"/>
      <c r="L1" s="9"/>
      <c r="M1" s="9"/>
      <c r="N1" s="9"/>
      <c r="O1" s="9"/>
      <c r="P1" s="9"/>
      <c r="Q1" s="9"/>
      <c r="R1" s="9"/>
      <c r="S1" s="9"/>
      <c r="T1" s="9"/>
      <c r="U1" s="9"/>
      <c r="V1" s="9"/>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row>
    <row r="3" customFormat="false" ht="45" hidden="false" customHeight="true" outlineLevel="0" collapsed="false">
      <c r="A3" s="10" t="s">
        <v>60</v>
      </c>
      <c r="B3" s="10" t="s">
        <v>23</v>
      </c>
      <c r="C3" s="10" t="s">
        <v>24</v>
      </c>
      <c r="D3" s="10" t="s">
        <v>25</v>
      </c>
      <c r="E3" s="10" t="s">
        <v>26</v>
      </c>
      <c r="F3" s="10" t="s">
        <v>27</v>
      </c>
      <c r="G3" s="10" t="s">
        <v>28</v>
      </c>
      <c r="H3" s="10" t="s">
        <v>29</v>
      </c>
      <c r="I3" s="10" t="s">
        <v>30</v>
      </c>
      <c r="J3" s="10" t="s">
        <v>31</v>
      </c>
      <c r="K3" s="10" t="s">
        <v>32</v>
      </c>
      <c r="L3" s="10" t="s">
        <v>33</v>
      </c>
      <c r="M3" s="10" t="s">
        <v>34</v>
      </c>
      <c r="N3" s="10" t="s">
        <v>35</v>
      </c>
      <c r="O3" s="10" t="s">
        <v>36</v>
      </c>
      <c r="P3" s="10" t="s">
        <v>37</v>
      </c>
      <c r="Q3" s="10" t="s">
        <v>38</v>
      </c>
      <c r="R3" s="10" t="s">
        <v>39</v>
      </c>
      <c r="S3" s="10" t="s">
        <v>40</v>
      </c>
      <c r="T3" s="10" t="s">
        <v>43</v>
      </c>
      <c r="U3" s="10" t="s">
        <v>44</v>
      </c>
      <c r="V3" s="10" t="s">
        <v>45</v>
      </c>
    </row>
    <row r="4" customFormat="false" ht="15" hidden="false" customHeight="true" outlineLevel="0" collapsed="false">
      <c r="A4" s="11" t="s">
        <v>61</v>
      </c>
      <c r="B4" s="12" t="n">
        <v>23975</v>
      </c>
      <c r="C4" s="12" t="n">
        <v>25218</v>
      </c>
      <c r="D4" s="12" t="n">
        <v>24786</v>
      </c>
      <c r="E4" s="12" t="n">
        <v>24598</v>
      </c>
      <c r="F4" s="13" t="n">
        <f aca="false">IFERROR(C4/B4-1,"")</f>
        <v>0.0518456725755996</v>
      </c>
      <c r="G4" s="13" t="n">
        <f aca="false">IFERROR(D4/C4-1,"")</f>
        <v>-0.0171306209850107</v>
      </c>
      <c r="H4" s="13" t="n">
        <f aca="false">IFERROR(E4/D4-1,"")</f>
        <v>-0.0075849269749052</v>
      </c>
      <c r="I4" s="12" t="n">
        <v>5631</v>
      </c>
      <c r="J4" s="12" t="n">
        <v>5593</v>
      </c>
      <c r="K4" s="12" t="n">
        <v>5130</v>
      </c>
      <c r="L4" s="12" t="n">
        <v>4920</v>
      </c>
      <c r="M4" s="13" t="n">
        <f aca="false">IFERROR(I4/B4,"")</f>
        <v>0.234869655891554</v>
      </c>
      <c r="N4" s="13" t="n">
        <f aca="false">IFERROR(J4/C4,"")</f>
        <v>0.221786025854548</v>
      </c>
      <c r="O4" s="13" t="n">
        <f aca="false">IFERROR(K4/D4,"")</f>
        <v>0.206971677559913</v>
      </c>
      <c r="P4" s="13" t="n">
        <f aca="false">IFERROR(L4/E4,"")</f>
        <v>0.200016261484674</v>
      </c>
      <c r="Q4" s="14" t="n">
        <v>0.002</v>
      </c>
      <c r="R4" s="14" t="n">
        <v>0.078</v>
      </c>
      <c r="S4" s="14" t="n">
        <v>0.08</v>
      </c>
      <c r="T4" s="14" t="n">
        <v>0.016</v>
      </c>
      <c r="U4" s="14" t="n">
        <v>0.017</v>
      </c>
      <c r="V4" s="14" t="n">
        <v>0.033</v>
      </c>
    </row>
    <row r="5" customFormat="false" ht="15" hidden="false" customHeight="true" outlineLevel="0" collapsed="false">
      <c r="A5" s="11" t="s">
        <v>62</v>
      </c>
      <c r="B5" s="12" t="n">
        <v>4040</v>
      </c>
      <c r="C5" s="12" t="n">
        <v>3536</v>
      </c>
      <c r="D5" s="12" t="n">
        <v>3320</v>
      </c>
      <c r="E5" s="12" t="n">
        <v>3180</v>
      </c>
      <c r="F5" s="13" t="n">
        <f aca="false">IFERROR(C5/B5-1,"")</f>
        <v>-0.124752475247525</v>
      </c>
      <c r="G5" s="13" t="n">
        <f aca="false">IFERROR(D5/C5-1,"")</f>
        <v>-0.0610859728506787</v>
      </c>
      <c r="H5" s="13" t="n">
        <f aca="false">IFERROR(E5/D5-1,"")</f>
        <v>-0.0421686746987952</v>
      </c>
      <c r="I5" s="12" t="n">
        <v>364</v>
      </c>
      <c r="J5" s="12" t="n">
        <v>277</v>
      </c>
      <c r="K5" s="12" t="n">
        <v>351</v>
      </c>
      <c r="L5" s="12" t="n">
        <v>297</v>
      </c>
      <c r="M5" s="13" t="n">
        <f aca="false">IFERROR(I5/B5,"")</f>
        <v>0.0900990099009901</v>
      </c>
      <c r="N5" s="13" t="n">
        <f aca="false">IFERROR(J5/C5,"")</f>
        <v>0.0783371040723982</v>
      </c>
      <c r="O5" s="13" t="n">
        <f aca="false">IFERROR(K5/D5,"")</f>
        <v>0.105722891566265</v>
      </c>
      <c r="P5" s="13" t="n">
        <f aca="false">IFERROR(L5/E5,"")</f>
        <v>0.0933962264150943</v>
      </c>
      <c r="Q5" s="14" t="n">
        <v>0.022</v>
      </c>
      <c r="R5" s="14" t="n">
        <v>0.089</v>
      </c>
      <c r="S5" s="14" t="n">
        <v>0.11</v>
      </c>
      <c r="T5" s="14" t="n">
        <v>-0.01</v>
      </c>
      <c r="U5" s="14" t="n">
        <v>0.032</v>
      </c>
      <c r="V5" s="14" t="n">
        <v>0.023</v>
      </c>
    </row>
    <row r="6" customFormat="false" ht="15" hidden="false" customHeight="true" outlineLevel="0" collapsed="false">
      <c r="A6" s="11" t="s">
        <v>63</v>
      </c>
      <c r="B6" s="12" t="n">
        <v>10700</v>
      </c>
      <c r="C6" s="12" t="n">
        <v>11289</v>
      </c>
      <c r="D6" s="12" t="n">
        <v>10981</v>
      </c>
      <c r="E6" s="12" t="n">
        <v>10397</v>
      </c>
      <c r="F6" s="13" t="n">
        <f aca="false">IFERROR(C6/B6-1,"")</f>
        <v>0.0550467289719627</v>
      </c>
      <c r="G6" s="13" t="n">
        <f aca="false">IFERROR(D6/C6-1,"")</f>
        <v>-0.0272831960315352</v>
      </c>
      <c r="H6" s="13" t="n">
        <f aca="false">IFERROR(E6/D6-1,"")</f>
        <v>-0.0531827702395046</v>
      </c>
      <c r="I6" s="12" t="n">
        <v>2707</v>
      </c>
      <c r="J6" s="12" t="n">
        <v>2568</v>
      </c>
      <c r="K6" s="12" t="n">
        <v>2688</v>
      </c>
      <c r="L6" s="12" t="n">
        <v>2442</v>
      </c>
      <c r="M6" s="13" t="n">
        <f aca="false">IFERROR(I6/B6,"")</f>
        <v>0.252990654205607</v>
      </c>
      <c r="N6" s="13" t="n">
        <f aca="false">IFERROR(J6/C6,"")</f>
        <v>0.227478076003189</v>
      </c>
      <c r="O6" s="13" t="n">
        <f aca="false">IFERROR(K6/D6,"")</f>
        <v>0.244786449321555</v>
      </c>
      <c r="P6" s="13" t="n">
        <f aca="false">IFERROR(L6/E6,"")</f>
        <v>0.234875444839858</v>
      </c>
      <c r="Q6" s="14" t="n">
        <v>-0.043</v>
      </c>
      <c r="R6" s="14" t="n">
        <v>0.096</v>
      </c>
      <c r="S6" s="14" t="n">
        <v>0.054</v>
      </c>
      <c r="T6" s="14" t="n">
        <v>-0.007</v>
      </c>
      <c r="U6" s="14" t="n">
        <v>0.001</v>
      </c>
      <c r="V6" s="14" t="n">
        <v>-0.006</v>
      </c>
    </row>
    <row r="7" customFormat="false" ht="15" hidden="false" customHeight="true" outlineLevel="0" collapsed="false">
      <c r="A7" s="11" t="s">
        <v>64</v>
      </c>
      <c r="B7" s="12" t="n">
        <v>13157</v>
      </c>
      <c r="C7" s="12" t="n">
        <v>15678</v>
      </c>
      <c r="D7" s="12" t="n">
        <v>15278</v>
      </c>
      <c r="E7" s="12" t="n">
        <v>15137</v>
      </c>
      <c r="F7" s="13" t="n">
        <f aca="false">IFERROR(C7/B7-1,"")</f>
        <v>0.191609029414</v>
      </c>
      <c r="G7" s="13" t="n">
        <f aca="false">IFERROR(D7/C7-1,"")</f>
        <v>-0.0255134583492792</v>
      </c>
      <c r="H7" s="13" t="n">
        <f aca="false">IFERROR(E7/D7-1,"")</f>
        <v>-0.00922895666972112</v>
      </c>
      <c r="I7" s="12" t="n">
        <v>2307</v>
      </c>
      <c r="J7" s="12" t="n">
        <v>2990</v>
      </c>
      <c r="K7" s="12" t="n">
        <v>2831</v>
      </c>
      <c r="L7" s="12" t="n">
        <v>3006</v>
      </c>
      <c r="M7" s="13" t="n">
        <f aca="false">IFERROR(I7/B7,"")</f>
        <v>0.17534392338679</v>
      </c>
      <c r="N7" s="13" t="n">
        <f aca="false">IFERROR(J7/C7,"")</f>
        <v>0.190713101160862</v>
      </c>
      <c r="O7" s="13" t="n">
        <f aca="false">IFERROR(K7/D7,"")</f>
        <v>0.185299122921848</v>
      </c>
      <c r="P7" s="13" t="n">
        <f aca="false">IFERROR(L7/E7,"")</f>
        <v>0.198586245623307</v>
      </c>
      <c r="Q7" s="14" t="n">
        <v>0.017</v>
      </c>
      <c r="R7" s="14" t="n">
        <v>0.057</v>
      </c>
      <c r="S7" s="14" t="n">
        <v>0.074</v>
      </c>
      <c r="T7" s="14" t="n">
        <v>0.019</v>
      </c>
      <c r="U7" s="14" t="n">
        <v>0.009</v>
      </c>
      <c r="V7" s="14" t="n">
        <v>0.028</v>
      </c>
    </row>
    <row r="8" customFormat="false" ht="15" hidden="false" customHeight="true" outlineLevel="0" collapsed="false">
      <c r="A8" s="11" t="s">
        <v>65</v>
      </c>
      <c r="B8" s="12" t="n">
        <v>12146</v>
      </c>
      <c r="C8" s="12" t="n">
        <v>12484</v>
      </c>
      <c r="D8" s="12" t="n">
        <v>11666</v>
      </c>
      <c r="E8" s="12" t="n">
        <v>10711</v>
      </c>
      <c r="F8" s="13" t="n">
        <f aca="false">IFERROR(C8/B8-1,"")</f>
        <v>0.0278280915527747</v>
      </c>
      <c r="G8" s="13" t="n">
        <f aca="false">IFERROR(D8/C8-1,"")</f>
        <v>-0.0655238705543095</v>
      </c>
      <c r="H8" s="13" t="n">
        <f aca="false">IFERROR(E8/D8-1,"")</f>
        <v>-0.0818618206754672</v>
      </c>
      <c r="I8" s="12" t="n">
        <v>2040</v>
      </c>
      <c r="J8" s="12" t="n">
        <v>2038</v>
      </c>
      <c r="K8" s="12" t="n">
        <v>2136</v>
      </c>
      <c r="L8" s="12" t="n">
        <v>2137</v>
      </c>
      <c r="M8" s="13" t="n">
        <f aca="false">IFERROR(I8/B8,"")</f>
        <v>0.167956528898403</v>
      </c>
      <c r="N8" s="13" t="n">
        <f aca="false">IFERROR(J8/C8,"")</f>
        <v>0.163248958667094</v>
      </c>
      <c r="O8" s="13" t="n">
        <f aca="false">IFERROR(K8/D8,"")</f>
        <v>0.183096176924396</v>
      </c>
      <c r="P8" s="13" t="n">
        <f aca="false">IFERROR(L8/E8,"")</f>
        <v>0.199514517785454</v>
      </c>
      <c r="Q8" s="14" t="n">
        <v>-0.069</v>
      </c>
      <c r="R8" s="14" t="n">
        <v>0.1</v>
      </c>
      <c r="S8" s="14" t="n">
        <v>0.031</v>
      </c>
      <c r="T8" s="14" t="n">
        <v>-0.022</v>
      </c>
      <c r="U8" s="14" t="n">
        <v>0.005</v>
      </c>
      <c r="V8" s="14" t="n">
        <v>-0.017</v>
      </c>
    </row>
    <row r="9" customFormat="false" ht="15" hidden="false" customHeight="true" outlineLevel="0" collapsed="false">
      <c r="A9" s="11" t="s">
        <v>66</v>
      </c>
      <c r="B9" s="12" t="n">
        <v>7514</v>
      </c>
      <c r="C9" s="12" t="n">
        <v>8118</v>
      </c>
      <c r="D9" s="12" t="n">
        <v>8107</v>
      </c>
      <c r="E9" s="12" t="n">
        <v>8449</v>
      </c>
      <c r="F9" s="13" t="n">
        <f aca="false">IFERROR(C9/B9-1,"")</f>
        <v>0.0803832845355337</v>
      </c>
      <c r="G9" s="13" t="n">
        <f aca="false">IFERROR(D9/C9-1,"")</f>
        <v>-0.00135501355013545</v>
      </c>
      <c r="H9" s="13" t="n">
        <f aca="false">IFERROR(E9/D9-1,"")</f>
        <v>0.0421857653879363</v>
      </c>
      <c r="I9" s="12" t="n">
        <v>1205</v>
      </c>
      <c r="J9" s="12" t="n">
        <v>1364</v>
      </c>
      <c r="K9" s="12" t="n">
        <v>1364</v>
      </c>
      <c r="L9" s="12" t="n">
        <v>1299</v>
      </c>
      <c r="M9" s="13" t="n">
        <f aca="false">IFERROR(I9/B9,"")</f>
        <v>0.160367314346553</v>
      </c>
      <c r="N9" s="13" t="n">
        <f aca="false">IFERROR(J9/C9,"")</f>
        <v>0.168021680216802</v>
      </c>
      <c r="O9" s="13" t="n">
        <f aca="false">IFERROR(K9/D9,"")</f>
        <v>0.168249660786974</v>
      </c>
      <c r="P9" s="13" t="n">
        <f aca="false">IFERROR(L9/E9,"")</f>
        <v>0.153746005444431</v>
      </c>
      <c r="Q9" s="14" t="n">
        <v>0.048</v>
      </c>
      <c r="R9" s="14" t="n">
        <v>0.047</v>
      </c>
      <c r="S9" s="14" t="n">
        <v>0.094</v>
      </c>
      <c r="T9" s="14" t="n">
        <v>-0.002</v>
      </c>
      <c r="U9" s="14" t="n">
        <v>0.064</v>
      </c>
      <c r="V9" s="14" t="n">
        <v>0.062</v>
      </c>
    </row>
    <row r="10" customFormat="false" ht="15" hidden="false" customHeight="true" outlineLevel="0" collapsed="false">
      <c r="A10" s="11" t="s">
        <v>67</v>
      </c>
      <c r="B10" s="12" t="n">
        <v>15556</v>
      </c>
      <c r="C10" s="12" t="n">
        <v>18101</v>
      </c>
      <c r="D10" s="12" t="n">
        <v>18860</v>
      </c>
      <c r="E10" s="12" t="n">
        <v>18882</v>
      </c>
      <c r="F10" s="13" t="n">
        <f aca="false">IFERROR(C10/B10-1,"")</f>
        <v>0.1636024685009</v>
      </c>
      <c r="G10" s="13" t="n">
        <f aca="false">IFERROR(D10/C10-1,"")</f>
        <v>0.0419313850063532</v>
      </c>
      <c r="H10" s="13" t="n">
        <f aca="false">IFERROR(E10/D10-1,"")</f>
        <v>0.00116648992576884</v>
      </c>
      <c r="I10" s="12" t="n">
        <v>3282</v>
      </c>
      <c r="J10" s="12" t="n">
        <v>3706</v>
      </c>
      <c r="K10" s="12" t="n">
        <v>3912</v>
      </c>
      <c r="L10" s="12" t="n">
        <v>4087</v>
      </c>
      <c r="M10" s="13" t="n">
        <f aca="false">IFERROR(I10/B10,"")</f>
        <v>0.210979686294677</v>
      </c>
      <c r="N10" s="13" t="n">
        <f aca="false">IFERROR(J10/C10,"")</f>
        <v>0.204740069609414</v>
      </c>
      <c r="O10" s="13" t="n">
        <f aca="false">IFERROR(K10/D10,"")</f>
        <v>0.207423117709438</v>
      </c>
      <c r="P10" s="13" t="n">
        <f aca="false">IFERROR(L10/E10,"")</f>
        <v>0.216449528651626</v>
      </c>
      <c r="Q10" s="14" t="n">
        <v>0.043</v>
      </c>
      <c r="R10" s="14" t="n">
        <v>0.102</v>
      </c>
      <c r="S10" s="14" t="n">
        <v>0.145</v>
      </c>
      <c r="T10" s="14" t="n">
        <v>0.021</v>
      </c>
      <c r="U10" s="14" t="n">
        <v>0.006</v>
      </c>
      <c r="V10" s="14" t="n">
        <v>0.027</v>
      </c>
    </row>
    <row r="11" customFormat="false" ht="15" hidden="false" customHeight="true" outlineLevel="0" collapsed="false">
      <c r="A11" s="15" t="s">
        <v>56</v>
      </c>
      <c r="B11" s="16" t="n">
        <f aca="false">SUM(B4:B10)</f>
        <v>87088</v>
      </c>
      <c r="C11" s="16" t="n">
        <f aca="false">SUM(C4:C10)</f>
        <v>94424</v>
      </c>
      <c r="D11" s="16" t="n">
        <f aca="false">SUM(D4:D10)</f>
        <v>92998</v>
      </c>
      <c r="E11" s="16" t="n">
        <f aca="false">SUM(E4:E10)</f>
        <v>91354</v>
      </c>
      <c r="F11" s="17" t="n">
        <f aca="false">IFERROR(C11/B11-1,"")</f>
        <v>0.0842366342090759</v>
      </c>
      <c r="G11" s="17" t="n">
        <f aca="false">IFERROR(D11/C11-1,"")</f>
        <v>-0.0151020926882995</v>
      </c>
      <c r="H11" s="17" t="n">
        <f aca="false">IFERROR(E11/D11-1,"")</f>
        <v>-0.0176777995225704</v>
      </c>
      <c r="I11" s="18" t="n">
        <v>15119</v>
      </c>
      <c r="J11" s="18" t="n">
        <v>16103</v>
      </c>
      <c r="K11" s="18" t="n">
        <v>16053</v>
      </c>
      <c r="L11" s="18" t="n">
        <v>15704</v>
      </c>
      <c r="M11" s="17" t="n">
        <f aca="false">IFERROR(I11/B11,"")</f>
        <v>0.173606007716333</v>
      </c>
      <c r="N11" s="17" t="n">
        <f aca="false">IFERROR(J11/C11,"")</f>
        <v>0.170539269677201</v>
      </c>
      <c r="O11" s="17" t="n">
        <f aca="false">IFERROR(K11/D11,"")</f>
        <v>0.172616615411084</v>
      </c>
      <c r="P11" s="17" t="n">
        <f aca="false">IFERROR(L11/E11,"")</f>
        <v>0.171902708146332</v>
      </c>
      <c r="Q11" s="22"/>
      <c r="R11" s="22"/>
      <c r="S11" s="22"/>
      <c r="T11" s="22"/>
      <c r="U11" s="22"/>
      <c r="V11" s="22"/>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row>
    <row r="13" customFormat="false" ht="15" hidden="false" customHeight="true" outlineLevel="0" collapsed="false">
      <c r="A13" s="20" t="s">
        <v>68</v>
      </c>
      <c r="B13" s="20"/>
      <c r="C13" s="20"/>
      <c r="D13" s="20"/>
      <c r="E13" s="20"/>
      <c r="F13" s="20"/>
      <c r="G13" s="20"/>
      <c r="H13" s="20"/>
      <c r="I13" s="20"/>
      <c r="J13" s="20"/>
      <c r="K13" s="3"/>
      <c r="L13" s="3"/>
      <c r="M13" s="3"/>
      <c r="N13" s="3"/>
      <c r="O13" s="3"/>
      <c r="P13" s="3"/>
      <c r="Q13" s="3"/>
      <c r="R13" s="3"/>
      <c r="S13" s="3"/>
      <c r="T13" s="3"/>
      <c r="U13" s="3"/>
      <c r="V13" s="3"/>
    </row>
    <row r="14" customFormat="false" ht="27.75" hidden="false" customHeight="true" outlineLevel="0" collapsed="false">
      <c r="A14" s="21" t="s">
        <v>69</v>
      </c>
      <c r="B14" s="21"/>
      <c r="C14" s="21"/>
      <c r="D14" s="21"/>
      <c r="E14" s="21"/>
      <c r="F14" s="21"/>
      <c r="G14" s="21"/>
      <c r="H14" s="21"/>
      <c r="I14" s="21"/>
      <c r="J14" s="21"/>
      <c r="K14" s="21"/>
      <c r="L14" s="21"/>
      <c r="M14" s="21"/>
      <c r="N14" s="21"/>
      <c r="O14" s="3"/>
      <c r="P14" s="3"/>
      <c r="Q14" s="3"/>
      <c r="R14" s="3"/>
      <c r="S14" s="3"/>
      <c r="T14" s="3"/>
      <c r="U14" s="3"/>
      <c r="V14" s="3"/>
    </row>
  </sheetData>
  <mergeCells count="3">
    <mergeCell ref="A1:V1"/>
    <mergeCell ref="A13:J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E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2"/>
    <col collapsed="false" customWidth="true" hidden="false" outlineLevel="0" max="5" min="2" style="8" width="14"/>
  </cols>
  <sheetData>
    <row r="1" customFormat="false" ht="15" hidden="false" customHeight="true" outlineLevel="0" collapsed="false">
      <c r="A1" s="4" t="s">
        <v>70</v>
      </c>
      <c r="B1" s="3"/>
      <c r="C1" s="3"/>
      <c r="D1" s="3"/>
      <c r="E1" s="3"/>
    </row>
    <row r="2" customFormat="false" ht="15" hidden="false" customHeight="true" outlineLevel="0" collapsed="false">
      <c r="A2" s="3"/>
      <c r="B2" s="3"/>
      <c r="C2" s="3"/>
      <c r="D2" s="3"/>
      <c r="E2" s="3"/>
    </row>
    <row r="3" customFormat="false" ht="15" hidden="false" customHeight="true" outlineLevel="0" collapsed="false">
      <c r="A3" s="23" t="s">
        <v>71</v>
      </c>
      <c r="B3" s="23" t="s">
        <v>72</v>
      </c>
      <c r="C3" s="23" t="s">
        <v>73</v>
      </c>
      <c r="D3" s="23" t="s">
        <v>74</v>
      </c>
      <c r="E3" s="23" t="s">
        <v>75</v>
      </c>
    </row>
    <row r="4" customFormat="false" ht="15" hidden="false" customHeight="true" outlineLevel="0" collapsed="false">
      <c r="A4" s="24" t="s">
        <v>76</v>
      </c>
      <c r="B4" s="25" t="n">
        <v>87088</v>
      </c>
      <c r="C4" s="25" t="n">
        <v>94424</v>
      </c>
      <c r="D4" s="25" t="n">
        <v>92998</v>
      </c>
      <c r="E4" s="25" t="n">
        <v>91354</v>
      </c>
    </row>
    <row r="5" customFormat="false" ht="15" hidden="false" customHeight="true" outlineLevel="0" collapsed="false">
      <c r="A5" s="24" t="s">
        <v>77</v>
      </c>
      <c r="B5" s="25" t="n">
        <v>382</v>
      </c>
      <c r="C5" s="25" t="n">
        <v>356</v>
      </c>
      <c r="D5" s="25" t="n">
        <v>353</v>
      </c>
      <c r="E5" s="25" t="n">
        <v>366</v>
      </c>
    </row>
    <row r="6" customFormat="false" ht="15" hidden="false" customHeight="true" outlineLevel="0" collapsed="false">
      <c r="A6" s="24" t="s">
        <v>78</v>
      </c>
      <c r="B6" s="25" t="n">
        <v>-45468</v>
      </c>
      <c r="C6" s="25" t="n">
        <v>-51745</v>
      </c>
      <c r="D6" s="25" t="n">
        <v>-50328</v>
      </c>
      <c r="E6" s="25" t="n">
        <v>-48670</v>
      </c>
    </row>
    <row r="7" customFormat="false" ht="15" hidden="false" customHeight="true" outlineLevel="0" collapsed="false">
      <c r="A7" s="24" t="s">
        <v>79</v>
      </c>
      <c r="B7" s="25" t="n">
        <v>-7919</v>
      </c>
      <c r="C7" s="25" t="n">
        <v>-8386</v>
      </c>
      <c r="D7" s="25" t="n">
        <v>-7765</v>
      </c>
      <c r="E7" s="25" t="n">
        <v>-7567</v>
      </c>
    </row>
    <row r="8" customFormat="false" ht="15" hidden="false" customHeight="true" outlineLevel="0" collapsed="false">
      <c r="A8" s="24" t="s">
        <v>80</v>
      </c>
      <c r="B8" s="25" t="n">
        <v>-17294</v>
      </c>
      <c r="C8" s="25" t="n">
        <v>-16850</v>
      </c>
      <c r="D8" s="25" t="n">
        <v>-17549</v>
      </c>
      <c r="E8" s="25" t="n">
        <v>-18112</v>
      </c>
    </row>
    <row r="9" customFormat="false" ht="15" hidden="false" customHeight="true" outlineLevel="0" collapsed="false">
      <c r="A9" s="24" t="s">
        <v>81</v>
      </c>
      <c r="B9" s="25" t="n">
        <v>-1670</v>
      </c>
      <c r="C9" s="25" t="n">
        <v>-1696</v>
      </c>
      <c r="D9" s="25" t="n">
        <v>-1656</v>
      </c>
      <c r="E9" s="25" t="n">
        <v>-1667</v>
      </c>
    </row>
    <row r="10" customFormat="false" ht="15" hidden="false" customHeight="true" outlineLevel="0" collapsed="false">
      <c r="A10" s="26" t="s">
        <v>82</v>
      </c>
      <c r="B10" s="27" t="n">
        <f aca="false">SUM(B4:B9)</f>
        <v>15119</v>
      </c>
      <c r="C10" s="27" t="n">
        <f aca="false">SUM(C4:C9)</f>
        <v>16103</v>
      </c>
      <c r="D10" s="27" t="n">
        <f aca="false">SUM(D4:D9)</f>
        <v>16053</v>
      </c>
      <c r="E10" s="27" t="n">
        <f aca="false">SUM(E4:E9)</f>
        <v>15704</v>
      </c>
    </row>
    <row r="11" customFormat="false" ht="15" hidden="false" customHeight="true" outlineLevel="0" collapsed="false">
      <c r="A11" s="24" t="s">
        <v>83</v>
      </c>
      <c r="B11" s="25" t="n">
        <v>171</v>
      </c>
      <c r="C11" s="25" t="n">
        <v>107</v>
      </c>
      <c r="D11" s="25" t="n">
        <v>132</v>
      </c>
      <c r="E11" s="25" t="n">
        <v>124</v>
      </c>
    </row>
    <row r="12" customFormat="false" ht="15" hidden="false" customHeight="true" outlineLevel="0" collapsed="false">
      <c r="A12" s="24" t="s">
        <v>84</v>
      </c>
      <c r="B12" s="25" t="n">
        <v>-3131</v>
      </c>
      <c r="C12" s="25" t="n">
        <v>-3015</v>
      </c>
      <c r="D12" s="25" t="n">
        <v>-1665</v>
      </c>
      <c r="E12" s="25" t="n">
        <v>-1195</v>
      </c>
    </row>
    <row r="13" customFormat="false" ht="15" hidden="false" customHeight="true" outlineLevel="0" collapsed="false">
      <c r="A13" s="26" t="s">
        <v>85</v>
      </c>
      <c r="B13" s="27" t="n">
        <f aca="false">B10+B11+B12</f>
        <v>12159</v>
      </c>
      <c r="C13" s="27" t="n">
        <f aca="false">C10+C11+C12</f>
        <v>13195</v>
      </c>
      <c r="D13" s="27" t="n">
        <f aca="false">D10+D11+D12</f>
        <v>14520</v>
      </c>
      <c r="E13" s="27" t="n">
        <f aca="false">E10+E11+E12</f>
        <v>14633</v>
      </c>
    </row>
    <row r="14" customFormat="false" ht="15" hidden="false" customHeight="true" outlineLevel="0" collapsed="false">
      <c r="A14" s="24" t="s">
        <v>86</v>
      </c>
      <c r="B14" s="25" t="n">
        <v>698</v>
      </c>
      <c r="C14" s="25" t="n">
        <v>340</v>
      </c>
      <c r="D14" s="25" t="n">
        <v>298</v>
      </c>
      <c r="E14" s="25" t="n">
        <v>474</v>
      </c>
    </row>
    <row r="15" customFormat="false" ht="15" hidden="false" customHeight="true" outlineLevel="0" collapsed="false">
      <c r="A15" s="24" t="s">
        <v>87</v>
      </c>
      <c r="B15" s="25" t="n">
        <v>-1178</v>
      </c>
      <c r="C15" s="25" t="n">
        <v>-1209</v>
      </c>
      <c r="D15" s="25" t="n">
        <v>-755</v>
      </c>
      <c r="E15" s="25" t="n">
        <v>-383</v>
      </c>
    </row>
    <row r="16" customFormat="false" ht="15" hidden="false" customHeight="true" outlineLevel="0" collapsed="false">
      <c r="A16" s="26" t="s">
        <v>88</v>
      </c>
      <c r="B16" s="27" t="n">
        <f aca="false">B13+B14+B15</f>
        <v>11679</v>
      </c>
      <c r="C16" s="27" t="n">
        <f aca="false">C13+C14+C15</f>
        <v>12326</v>
      </c>
      <c r="D16" s="27" t="n">
        <f aca="false">D13+D14+D15</f>
        <v>14063</v>
      </c>
      <c r="E16" s="27" t="n">
        <f aca="false">E13+E14+E15</f>
        <v>14724</v>
      </c>
    </row>
    <row r="17" customFormat="false" ht="15" hidden="false" customHeight="true" outlineLevel="0" collapsed="false">
      <c r="A17" s="24" t="s">
        <v>89</v>
      </c>
      <c r="B17" s="25" t="n">
        <v>80</v>
      </c>
      <c r="C17" s="25" t="n">
        <v>210</v>
      </c>
      <c r="D17" s="25" t="n">
        <v>284</v>
      </c>
      <c r="E17" s="25" t="n">
        <v>358</v>
      </c>
    </row>
    <row r="18" customFormat="false" ht="15" hidden="false" customHeight="true" outlineLevel="0" collapsed="false">
      <c r="A18" s="24" t="s">
        <v>90</v>
      </c>
      <c r="B18" s="25" t="n">
        <v>-953</v>
      </c>
      <c r="C18" s="25" t="n">
        <v>-1250</v>
      </c>
      <c r="D18" s="25" t="n">
        <v>-1644</v>
      </c>
      <c r="E18" s="25" t="n">
        <v>-1843</v>
      </c>
    </row>
    <row r="19" customFormat="false" ht="15" hidden="false" customHeight="true" outlineLevel="0" collapsed="false">
      <c r="A19" s="4" t="s">
        <v>91</v>
      </c>
      <c r="B19" s="28" t="n">
        <f aca="false">B17+B18</f>
        <v>-873</v>
      </c>
      <c r="C19" s="28" t="n">
        <f aca="false">C17+C18</f>
        <v>-1040</v>
      </c>
      <c r="D19" s="28" t="n">
        <f aca="false">D17+D18</f>
        <v>-1360</v>
      </c>
      <c r="E19" s="28" t="n">
        <f aca="false">E17+E18</f>
        <v>-1485</v>
      </c>
    </row>
    <row r="20" customFormat="false" ht="15" hidden="false" customHeight="true" outlineLevel="0" collapsed="false">
      <c r="A20" s="26" t="s">
        <v>92</v>
      </c>
      <c r="B20" s="27" t="n">
        <f aca="false">B16+B19</f>
        <v>10806</v>
      </c>
      <c r="C20" s="27" t="n">
        <f aca="false">C16+C19</f>
        <v>11286</v>
      </c>
      <c r="D20" s="27" t="n">
        <f aca="false">D16+D19</f>
        <v>12703</v>
      </c>
      <c r="E20" s="27" t="n">
        <f aca="false">E16+E19</f>
        <v>13239</v>
      </c>
    </row>
    <row r="21" customFormat="false" ht="15" hidden="false" customHeight="true" outlineLevel="0" collapsed="false">
      <c r="A21" s="24" t="s">
        <v>93</v>
      </c>
      <c r="B21" s="25" t="n">
        <v>8651</v>
      </c>
      <c r="C21" s="25" t="n">
        <v>1040</v>
      </c>
      <c r="D21" s="25" t="n">
        <v>1120</v>
      </c>
      <c r="E21" s="25" t="n">
        <v>1249</v>
      </c>
    </row>
    <row r="22" customFormat="false" ht="15" hidden="false" customHeight="true" outlineLevel="0" collapsed="false">
      <c r="A22" s="24" t="s">
        <v>94</v>
      </c>
      <c r="B22" s="25" t="n">
        <v>-2261</v>
      </c>
      <c r="C22" s="25" t="n">
        <v>-2730</v>
      </c>
      <c r="D22" s="25" t="n">
        <v>-2314</v>
      </c>
      <c r="E22" s="25" t="n">
        <v>-3314</v>
      </c>
    </row>
    <row r="23" customFormat="false" ht="15" hidden="false" customHeight="true" outlineLevel="0" collapsed="false">
      <c r="A23" s="26" t="s">
        <v>95</v>
      </c>
      <c r="B23" s="27" t="n">
        <f aca="false">B20+B21+B22</f>
        <v>17196</v>
      </c>
      <c r="C23" s="27" t="n">
        <f aca="false">C20+C21+C22</f>
        <v>9596</v>
      </c>
      <c r="D23" s="27" t="n">
        <f aca="false">D20+D21+D22</f>
        <v>11509</v>
      </c>
      <c r="E23" s="27" t="n">
        <f aca="false">E20+E21+E22</f>
        <v>11174</v>
      </c>
    </row>
    <row r="24" customFormat="false" ht="15" hidden="false" customHeight="true" outlineLevel="0" collapsed="false">
      <c r="A24" s="24" t="s">
        <v>96</v>
      </c>
      <c r="B24" s="25" t="n">
        <v>291</v>
      </c>
      <c r="C24" s="25" t="n">
        <v>326</v>
      </c>
      <c r="D24" s="25" t="n">
        <v>300</v>
      </c>
      <c r="E24" s="25" t="n">
        <v>290</v>
      </c>
    </row>
    <row r="25" customFormat="false" ht="15" hidden="false" customHeight="true" outlineLevel="0" collapsed="false">
      <c r="A25" s="26" t="s">
        <v>97</v>
      </c>
      <c r="B25" s="27" t="n">
        <f aca="false">B23-B24</f>
        <v>16905</v>
      </c>
      <c r="C25" s="27" t="n">
        <f aca="false">C23-C24</f>
        <v>9270</v>
      </c>
      <c r="D25" s="27" t="n">
        <f aca="false">D23-D24</f>
        <v>11209</v>
      </c>
      <c r="E25" s="27" t="n">
        <f aca="false">E23-E24</f>
        <v>10884</v>
      </c>
    </row>
    <row r="26" customFormat="false" ht="15" hidden="false" customHeight="true" outlineLevel="0" collapsed="false">
      <c r="A26" s="3"/>
      <c r="B26" s="3"/>
      <c r="C26" s="3"/>
      <c r="D26" s="3"/>
      <c r="E26" s="3"/>
    </row>
    <row r="27" customFormat="false" ht="15" hidden="false" customHeight="true" outlineLevel="0" collapsed="false">
      <c r="A27" s="24" t="s">
        <v>98</v>
      </c>
      <c r="B27" s="29" t="n">
        <f aca="false">IFERROR(B10/B4,"")</f>
        <v>0.173606007716333</v>
      </c>
      <c r="C27" s="29" t="n">
        <f aca="false">IFERROR(C10/C4,"")</f>
        <v>0.170539269677201</v>
      </c>
      <c r="D27" s="29" t="n">
        <f aca="false">IFERROR(D10/D4,"")</f>
        <v>0.172616615411084</v>
      </c>
      <c r="E27" s="29" t="n">
        <f aca="false">IFERROR(E10/E4,"")</f>
        <v>0.171902708146332</v>
      </c>
    </row>
    <row r="28" customFormat="false" ht="15" hidden="false" customHeight="true" outlineLevel="0" collapsed="false">
      <c r="A28" s="24" t="s">
        <v>99</v>
      </c>
      <c r="B28" s="29" t="n">
        <f aca="false">IFERROR(B13/B4,"")</f>
        <v>0.139617398493478</v>
      </c>
      <c r="C28" s="29" t="n">
        <f aca="false">IFERROR(C13/C4,"")</f>
        <v>0.139742014742015</v>
      </c>
      <c r="D28" s="29" t="n">
        <f aca="false">IFERROR(D13/D4,"")</f>
        <v>0.15613238994387</v>
      </c>
      <c r="E28" s="29" t="n">
        <f aca="false">IFERROR(E13/E4,"")</f>
        <v>0.160179083565033</v>
      </c>
    </row>
    <row r="29" customFormat="false" ht="15" hidden="false" customHeight="true" outlineLevel="0" collapsed="false">
      <c r="A29" s="24" t="s">
        <v>100</v>
      </c>
      <c r="B29" s="29" t="n">
        <f aca="false">IFERROR(B16/B4,"")</f>
        <v>0.134105732133015</v>
      </c>
      <c r="C29" s="29" t="n">
        <f aca="false">IFERROR(C16/C4,"")</f>
        <v>0.130538846056087</v>
      </c>
      <c r="D29" s="29" t="n">
        <f aca="false">IFERROR(D16/D4,"")</f>
        <v>0.151218305770017</v>
      </c>
      <c r="E29" s="29" t="n">
        <f aca="false">IFERROR(E16/E4,"")</f>
        <v>0.161175208529457</v>
      </c>
    </row>
    <row r="30" customFormat="false" ht="15" hidden="false" customHeight="true" outlineLevel="0" collapsed="false">
      <c r="A30" s="24" t="s">
        <v>101</v>
      </c>
      <c r="B30" s="29" t="n">
        <f aca="false">IFERROR(B25/B4,"")</f>
        <v>0.194113999632556</v>
      </c>
      <c r="C30" s="29" t="n">
        <f aca="false">IFERROR(C25/C4,"")</f>
        <v>0.0981741930017792</v>
      </c>
      <c r="D30" s="29" t="n">
        <f aca="false">IFERROR(D25/D4,"")</f>
        <v>0.120529473752124</v>
      </c>
      <c r="E30" s="29" t="n">
        <f aca="false">IFERROR(E25/E4,"")</f>
        <v>0.119140924316396</v>
      </c>
    </row>
    <row r="31" customFormat="false" ht="15" hidden="false" customHeight="true" outlineLevel="0" collapsed="false">
      <c r="A31" s="24" t="s">
        <v>102</v>
      </c>
      <c r="B31" s="29" t="n">
        <f aca="false">IFERROR(-B22/B20,"")</f>
        <v>0.209235609846382</v>
      </c>
      <c r="C31" s="29" t="n">
        <f aca="false">IFERROR(-C22/C20,"")</f>
        <v>0.241892610313663</v>
      </c>
      <c r="D31" s="29" t="n">
        <f aca="false">IFERROR(-D22/D20,"")</f>
        <v>0.182161694088011</v>
      </c>
      <c r="E31" s="29" t="n">
        <f aca="false">IFERROR(-E22/E20,"")</f>
        <v>0.250321021225168</v>
      </c>
    </row>
    <row r="32" customFormat="false" ht="15" hidden="false" customHeight="true" outlineLevel="0" collapsed="false">
      <c r="A32" s="3"/>
      <c r="B32" s="3"/>
      <c r="C32" s="3"/>
      <c r="D32" s="3"/>
      <c r="E32" s="3"/>
    </row>
    <row r="33" customFormat="false" ht="15" hidden="false" customHeight="true" outlineLevel="0" collapsed="false">
      <c r="A33" s="24" t="s">
        <v>103</v>
      </c>
      <c r="B33" s="30" t="n">
        <v>6.06</v>
      </c>
      <c r="C33" s="30" t="n">
        <v>3.42</v>
      </c>
      <c r="D33" s="30" t="n">
        <v>4.24</v>
      </c>
      <c r="E33" s="30" t="n">
        <v>4.19</v>
      </c>
    </row>
    <row r="34" customFormat="false" ht="15" hidden="false" customHeight="true" outlineLevel="0" collapsed="false">
      <c r="A34" s="24" t="s">
        <v>104</v>
      </c>
      <c r="B34" s="30" t="n">
        <v>6.06</v>
      </c>
      <c r="C34" s="30" t="n">
        <v>3.42</v>
      </c>
      <c r="D34" s="30" t="n">
        <v>4.23</v>
      </c>
      <c r="E34" s="30" t="n">
        <v>4.19</v>
      </c>
    </row>
    <row r="35" customFormat="false" ht="15" hidden="false" customHeight="true" outlineLevel="0" collapsed="false">
      <c r="A35" s="3"/>
      <c r="B35" s="3"/>
      <c r="C35" s="3"/>
      <c r="D35" s="3"/>
      <c r="E35" s="3"/>
    </row>
    <row r="36" customFormat="false" ht="30" hidden="false" customHeight="true" outlineLevel="0" collapsed="false">
      <c r="A36" s="31" t="s">
        <v>105</v>
      </c>
      <c r="B36" s="3"/>
      <c r="C36" s="3"/>
      <c r="D36" s="3"/>
      <c r="E36" s="3"/>
    </row>
    <row r="37" customFormat="false" ht="30" hidden="false" customHeight="true" outlineLevel="0" collapsed="false">
      <c r="A37" s="31" t="s">
        <v>106</v>
      </c>
      <c r="B37" s="3"/>
      <c r="C37" s="3"/>
      <c r="D37" s="3"/>
      <c r="E37" s="3"/>
    </row>
    <row r="38" customFormat="false" ht="30" hidden="false" customHeight="true" outlineLevel="0" collapsed="false">
      <c r="A38" s="31" t="s">
        <v>107</v>
      </c>
      <c r="B38" s="3"/>
      <c r="C38" s="3"/>
      <c r="D38" s="3"/>
      <c r="E38" s="3"/>
    </row>
    <row r="39" customFormat="false" ht="30" hidden="false" customHeight="true" outlineLevel="0" collapsed="false">
      <c r="A39" s="31" t="s">
        <v>108</v>
      </c>
      <c r="B39" s="3"/>
      <c r="C39" s="3"/>
      <c r="D39" s="3"/>
      <c r="E39"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E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5" min="2" style="8" width="14"/>
  </cols>
  <sheetData>
    <row r="1" customFormat="false" ht="15" hidden="false" customHeight="true" outlineLevel="0" collapsed="false">
      <c r="A1" s="4" t="s">
        <v>109</v>
      </c>
      <c r="B1" s="3"/>
      <c r="C1" s="3"/>
      <c r="D1" s="3"/>
      <c r="E1" s="3"/>
    </row>
    <row r="2" customFormat="false" ht="15" hidden="false" customHeight="true" outlineLevel="0" collapsed="false">
      <c r="A2" s="3"/>
      <c r="B2" s="3"/>
      <c r="C2" s="3"/>
      <c r="D2" s="3"/>
      <c r="E2" s="3"/>
    </row>
    <row r="3" customFormat="false" ht="15" hidden="false" customHeight="true" outlineLevel="0" collapsed="false">
      <c r="A3" s="23" t="s">
        <v>71</v>
      </c>
      <c r="B3" s="23" t="s">
        <v>72</v>
      </c>
      <c r="C3" s="23" t="s">
        <v>73</v>
      </c>
      <c r="D3" s="23" t="s">
        <v>74</v>
      </c>
      <c r="E3" s="23" t="s">
        <v>75</v>
      </c>
    </row>
    <row r="4" customFormat="false" ht="15" hidden="false" customHeight="true" outlineLevel="0" collapsed="false">
      <c r="A4" s="32" t="s">
        <v>110</v>
      </c>
      <c r="B4" s="3"/>
      <c r="C4" s="3"/>
      <c r="D4" s="3"/>
      <c r="E4" s="3"/>
    </row>
    <row r="5" customFormat="false" ht="15" hidden="false" customHeight="true" outlineLevel="0" collapsed="false">
      <c r="A5" s="4" t="s">
        <v>111</v>
      </c>
      <c r="B5" s="28" t="n">
        <f aca="false">'1. Income_Statement'!B16</f>
        <v>11679</v>
      </c>
      <c r="C5" s="28" t="n">
        <f aca="false">'1. Income_Statement'!C16</f>
        <v>12326</v>
      </c>
      <c r="D5" s="28" t="n">
        <f aca="false">'1. Income_Statement'!D16</f>
        <v>14063</v>
      </c>
      <c r="E5" s="28" t="n">
        <f aca="false">'1. Income_Statement'!E16</f>
        <v>14724</v>
      </c>
    </row>
    <row r="6" customFormat="false" ht="15" hidden="false" customHeight="true" outlineLevel="0" collapsed="false">
      <c r="A6" s="24" t="s">
        <v>112</v>
      </c>
      <c r="B6" s="25" t="n">
        <v>3440</v>
      </c>
      <c r="C6" s="25" t="n">
        <v>3541</v>
      </c>
      <c r="D6" s="25" t="n">
        <v>3458</v>
      </c>
      <c r="E6" s="25" t="n">
        <v>3582</v>
      </c>
    </row>
    <row r="7" customFormat="false" ht="15" hidden="false" customHeight="true" outlineLevel="0" collapsed="false">
      <c r="A7" s="24" t="s">
        <v>113</v>
      </c>
      <c r="B7" s="25" t="n">
        <v>2614</v>
      </c>
      <c r="C7" s="25" t="n">
        <v>2726</v>
      </c>
      <c r="D7" s="25" t="n">
        <v>647</v>
      </c>
      <c r="E7" s="25" t="n">
        <v>580</v>
      </c>
    </row>
    <row r="8" customFormat="false" ht="15" hidden="false" customHeight="true" outlineLevel="0" collapsed="false">
      <c r="A8" s="24" t="s">
        <v>114</v>
      </c>
      <c r="B8" s="25" t="n">
        <v>-235</v>
      </c>
      <c r="C8" s="25" t="n">
        <v>79</v>
      </c>
      <c r="D8" s="25" t="n">
        <v>221</v>
      </c>
      <c r="E8" s="25" t="n">
        <v>62</v>
      </c>
    </row>
    <row r="9" customFormat="false" ht="15" hidden="false" customHeight="true" outlineLevel="0" collapsed="false">
      <c r="A9" s="24" t="s">
        <v>115</v>
      </c>
      <c r="B9" s="25" t="n">
        <v>-253</v>
      </c>
      <c r="C9" s="25" t="n">
        <v>216</v>
      </c>
      <c r="D9" s="25" t="n">
        <v>82</v>
      </c>
      <c r="E9" s="25" t="n">
        <v>-229</v>
      </c>
    </row>
    <row r="10" customFormat="false" ht="15" hidden="false" customHeight="true" outlineLevel="0" collapsed="false">
      <c r="A10" s="26" t="s">
        <v>116</v>
      </c>
      <c r="B10" s="27" t="n">
        <f aca="false">SUM(B5:B9)</f>
        <v>17245</v>
      </c>
      <c r="C10" s="27" t="n">
        <f aca="false">SUM(C5:C9)</f>
        <v>18888</v>
      </c>
      <c r="D10" s="27" t="n">
        <f aca="false">SUM(D5:D9)</f>
        <v>18471</v>
      </c>
      <c r="E10" s="27" t="n">
        <f aca="false">SUM(E5:E9)</f>
        <v>18719</v>
      </c>
    </row>
    <row r="11" customFormat="false" ht="15" hidden="false" customHeight="true" outlineLevel="0" collapsed="false">
      <c r="A11" s="24" t="s">
        <v>117</v>
      </c>
      <c r="B11" s="25" t="n">
        <v>-173</v>
      </c>
      <c r="C11" s="25" t="n">
        <v>-3133</v>
      </c>
      <c r="D11" s="25" t="n">
        <v>1134</v>
      </c>
      <c r="E11" s="25" t="n">
        <v>1208</v>
      </c>
    </row>
    <row r="12" customFormat="false" ht="15" hidden="false" customHeight="true" outlineLevel="0" collapsed="false">
      <c r="A12" s="24" t="s">
        <v>118</v>
      </c>
      <c r="B12" s="25" t="n">
        <v>-427</v>
      </c>
      <c r="C12" s="25" t="n">
        <v>-514</v>
      </c>
      <c r="D12" s="25" t="n">
        <v>-425</v>
      </c>
      <c r="E12" s="25" t="n">
        <v>-334</v>
      </c>
    </row>
    <row r="13" customFormat="false" ht="15" hidden="false" customHeight="true" outlineLevel="0" collapsed="false">
      <c r="A13" s="26" t="s">
        <v>119</v>
      </c>
      <c r="B13" s="27" t="n">
        <f aca="false">B10+B11+B12</f>
        <v>16645</v>
      </c>
      <c r="C13" s="27" t="n">
        <f aca="false">C10+C11+C12</f>
        <v>15241</v>
      </c>
      <c r="D13" s="27" t="n">
        <f aca="false">D10+D11+D12</f>
        <v>19180</v>
      </c>
      <c r="E13" s="27" t="n">
        <f aca="false">E10+E11+E12</f>
        <v>19593</v>
      </c>
    </row>
    <row r="14" customFormat="false" ht="15" hidden="false" customHeight="true" outlineLevel="0" collapsed="false">
      <c r="A14" s="24" t="s">
        <v>120</v>
      </c>
      <c r="B14" s="25" t="n">
        <v>-753</v>
      </c>
      <c r="C14" s="25" t="n">
        <v>-953</v>
      </c>
      <c r="D14" s="25" t="n">
        <v>-1330</v>
      </c>
      <c r="E14" s="25" t="n">
        <v>-1539</v>
      </c>
    </row>
    <row r="15" customFormat="false" ht="15" hidden="false" customHeight="true" outlineLevel="0" collapsed="false">
      <c r="A15" s="24" t="s">
        <v>121</v>
      </c>
      <c r="B15" s="25" t="n">
        <v>43</v>
      </c>
      <c r="C15" s="25" t="n">
        <v>118</v>
      </c>
      <c r="D15" s="25" t="n">
        <v>193</v>
      </c>
      <c r="E15" s="25" t="n">
        <v>273</v>
      </c>
    </row>
    <row r="16" customFormat="false" ht="15" hidden="false" customHeight="true" outlineLevel="0" collapsed="false">
      <c r="A16" s="24" t="s">
        <v>122</v>
      </c>
      <c r="B16" s="25" t="n">
        <v>-2722</v>
      </c>
      <c r="C16" s="25" t="n">
        <v>-3107</v>
      </c>
      <c r="D16" s="25" t="n">
        <v>-2801</v>
      </c>
      <c r="E16" s="25" t="n">
        <v>-2411</v>
      </c>
    </row>
    <row r="17" customFormat="false" ht="15" hidden="false" customHeight="true" outlineLevel="0" collapsed="false">
      <c r="A17" s="24" t="s">
        <v>123</v>
      </c>
      <c r="B17" s="25" t="n">
        <v>651</v>
      </c>
      <c r="C17" s="25" t="n">
        <v>608</v>
      </c>
      <c r="D17" s="25" t="n">
        <v>699</v>
      </c>
      <c r="E17" s="25" t="n">
        <v>759</v>
      </c>
    </row>
    <row r="18" customFormat="false" ht="15" hidden="false" customHeight="true" outlineLevel="0" collapsed="false">
      <c r="A18" s="26" t="s">
        <v>124</v>
      </c>
      <c r="B18" s="27" t="n">
        <f aca="false">B13+B14+B15+B16+B17</f>
        <v>13864</v>
      </c>
      <c r="C18" s="27" t="n">
        <f aca="false">C13+C14+C15+C16+C17</f>
        <v>11907</v>
      </c>
      <c r="D18" s="27" t="n">
        <f aca="false">D13+D14+D15+D16+D17</f>
        <v>15941</v>
      </c>
      <c r="E18" s="27" t="n">
        <f aca="false">E13+E14+E15+E16+E17</f>
        <v>16675</v>
      </c>
    </row>
    <row r="19" customFormat="false" ht="15" hidden="false" customHeight="true" outlineLevel="0" collapsed="false">
      <c r="A19" s="3"/>
      <c r="B19" s="3"/>
      <c r="C19" s="3"/>
      <c r="D19" s="3"/>
      <c r="E19" s="3"/>
    </row>
    <row r="20" customFormat="false" ht="15" hidden="false" customHeight="true" outlineLevel="0" collapsed="false">
      <c r="A20" s="32" t="s">
        <v>125</v>
      </c>
      <c r="B20" s="3"/>
      <c r="C20" s="3"/>
      <c r="D20" s="3"/>
      <c r="E20" s="3"/>
    </row>
    <row r="21" customFormat="false" ht="15" hidden="false" customHeight="true" outlineLevel="0" collapsed="false">
      <c r="A21" s="24" t="s">
        <v>126</v>
      </c>
      <c r="B21" s="25" t="n">
        <v>-4880</v>
      </c>
      <c r="C21" s="25" t="n">
        <v>-5095</v>
      </c>
      <c r="D21" s="25" t="n">
        <v>-5714</v>
      </c>
      <c r="E21" s="25" t="n">
        <v>-5638</v>
      </c>
    </row>
    <row r="22" customFormat="false" ht="15" hidden="false" customHeight="true" outlineLevel="0" collapsed="false">
      <c r="A22" s="24" t="s">
        <v>127</v>
      </c>
      <c r="B22" s="25" t="n">
        <v>-461</v>
      </c>
      <c r="C22" s="25" t="n">
        <v>-266</v>
      </c>
      <c r="D22" s="25" t="n">
        <v>-489</v>
      </c>
      <c r="E22" s="25" t="n">
        <v>-325</v>
      </c>
    </row>
    <row r="23" customFormat="false" ht="15" hidden="false" customHeight="true" outlineLevel="0" collapsed="false">
      <c r="A23" s="24" t="s">
        <v>128</v>
      </c>
      <c r="B23" s="25" t="n">
        <v>-6394</v>
      </c>
      <c r="C23" s="25" t="n">
        <v>-1710</v>
      </c>
      <c r="D23" s="25" t="n">
        <v>-211</v>
      </c>
      <c r="E23" s="25" t="n">
        <v>-809</v>
      </c>
    </row>
    <row r="24" customFormat="false" ht="15" hidden="false" customHeight="true" outlineLevel="0" collapsed="false">
      <c r="A24" s="24" t="s">
        <v>129</v>
      </c>
      <c r="B24" s="25" t="n">
        <v>3530</v>
      </c>
      <c r="C24" s="25" t="n">
        <v>160</v>
      </c>
      <c r="D24" s="25" t="n">
        <v>215</v>
      </c>
      <c r="E24" s="25" t="n">
        <v>-23</v>
      </c>
    </row>
    <row r="25" customFormat="false" ht="15" hidden="false" customHeight="true" outlineLevel="0" collapsed="false">
      <c r="A25" s="24" t="s">
        <v>130</v>
      </c>
      <c r="B25" s="25" t="n">
        <v>-715</v>
      </c>
      <c r="C25" s="25" t="n">
        <v>-918</v>
      </c>
      <c r="D25" s="25" t="n">
        <v>-582</v>
      </c>
      <c r="E25" s="25" t="n">
        <v>-532</v>
      </c>
    </row>
    <row r="26" customFormat="false" ht="15" hidden="false" customHeight="true" outlineLevel="0" collapsed="false">
      <c r="A26" s="24" t="s">
        <v>131</v>
      </c>
      <c r="B26" s="25" t="n">
        <v>9294</v>
      </c>
      <c r="C26" s="25" t="n">
        <v>0</v>
      </c>
      <c r="D26" s="25" t="n">
        <v>0</v>
      </c>
      <c r="E26" s="25" t="n">
        <v>0</v>
      </c>
    </row>
    <row r="27" customFormat="false" ht="15" hidden="false" customHeight="true" outlineLevel="0" collapsed="false">
      <c r="A27" s="24" t="s">
        <v>132</v>
      </c>
      <c r="B27" s="25" t="n">
        <v>-3610</v>
      </c>
      <c r="C27" s="25" t="n">
        <v>5902</v>
      </c>
      <c r="D27" s="25" t="n">
        <v>-80</v>
      </c>
      <c r="E27" s="25" t="n">
        <v>-1251</v>
      </c>
    </row>
    <row r="28" customFormat="false" ht="15" hidden="false" customHeight="true" outlineLevel="0" collapsed="false">
      <c r="A28" s="24" t="s">
        <v>133</v>
      </c>
      <c r="B28" s="25" t="n">
        <v>192</v>
      </c>
      <c r="C28" s="25" t="n">
        <v>24</v>
      </c>
      <c r="D28" s="25" t="n">
        <v>665</v>
      </c>
      <c r="E28" s="25" t="n">
        <v>-46</v>
      </c>
    </row>
    <row r="29" customFormat="false" ht="15" hidden="false" customHeight="true" outlineLevel="0" collapsed="false">
      <c r="A29" s="26" t="s">
        <v>134</v>
      </c>
      <c r="B29" s="27" t="n">
        <f aca="false">SUM(B21:B28)</f>
        <v>-3044</v>
      </c>
      <c r="C29" s="27" t="n">
        <f aca="false">SUM(C21:C28)</f>
        <v>-1903</v>
      </c>
      <c r="D29" s="27" t="n">
        <f aca="false">SUM(D21:D28)</f>
        <v>-6196</v>
      </c>
      <c r="E29" s="27" t="n">
        <f aca="false">SUM(E21:E28)</f>
        <v>-8624</v>
      </c>
    </row>
    <row r="30" customFormat="false" ht="15" hidden="false" customHeight="true" outlineLevel="0" collapsed="false">
      <c r="A30" s="3"/>
      <c r="B30" s="3"/>
      <c r="C30" s="3"/>
      <c r="D30" s="3"/>
      <c r="E30" s="3"/>
    </row>
    <row r="31" customFormat="false" ht="15" hidden="false" customHeight="true" outlineLevel="0" collapsed="false">
      <c r="A31" s="32" t="s">
        <v>135</v>
      </c>
      <c r="B31" s="3"/>
      <c r="C31" s="3"/>
      <c r="D31" s="3"/>
      <c r="E31" s="3"/>
    </row>
    <row r="32" customFormat="false" ht="15" hidden="false" customHeight="true" outlineLevel="0" collapsed="false">
      <c r="A32" s="24" t="s">
        <v>136</v>
      </c>
      <c r="B32" s="25" t="n">
        <v>-7681</v>
      </c>
      <c r="C32" s="25" t="n">
        <v>-7618</v>
      </c>
      <c r="D32" s="25" t="n">
        <v>-7829</v>
      </c>
      <c r="E32" s="25" t="n">
        <v>-7816</v>
      </c>
    </row>
    <row r="33" customFormat="false" ht="15" hidden="false" customHeight="true" outlineLevel="0" collapsed="false">
      <c r="A33" s="24" t="s">
        <v>137</v>
      </c>
      <c r="B33" s="25" t="n">
        <v>-302</v>
      </c>
      <c r="C33" s="25" t="n">
        <v>-284</v>
      </c>
      <c r="D33" s="25" t="n">
        <v>-323</v>
      </c>
      <c r="E33" s="25" t="n">
        <v>-174</v>
      </c>
    </row>
    <row r="34" customFormat="false" ht="15" hidden="false" customHeight="true" outlineLevel="0" collapsed="false">
      <c r="A34" s="24" t="s">
        <v>138</v>
      </c>
      <c r="B34" s="25" t="n">
        <v>-601</v>
      </c>
      <c r="C34" s="25" t="n">
        <v>-605</v>
      </c>
      <c r="D34" s="25" t="n">
        <v>-52</v>
      </c>
      <c r="E34" s="25" t="n">
        <v>-27</v>
      </c>
    </row>
    <row r="35" customFormat="false" ht="15" hidden="false" customHeight="true" outlineLevel="0" collapsed="false">
      <c r="A35" s="24" t="s">
        <v>139</v>
      </c>
      <c r="B35" s="25" t="n">
        <v>-6548</v>
      </c>
      <c r="C35" s="25" t="n">
        <v>-10679</v>
      </c>
      <c r="D35" s="25" t="n">
        <v>-5234</v>
      </c>
      <c r="E35" s="25" t="n">
        <v>-4678</v>
      </c>
    </row>
    <row r="36" customFormat="false" ht="15" hidden="false" customHeight="true" outlineLevel="0" collapsed="false">
      <c r="A36" s="24" t="s">
        <v>140</v>
      </c>
      <c r="B36" s="25" t="n">
        <v>11339</v>
      </c>
      <c r="C36" s="25" t="n">
        <v>10936</v>
      </c>
      <c r="D36" s="25" t="n">
        <v>9806</v>
      </c>
      <c r="E36" s="25" t="n">
        <v>7992</v>
      </c>
    </row>
    <row r="37" customFormat="false" ht="15" hidden="false" customHeight="true" outlineLevel="0" collapsed="false">
      <c r="A37" s="24" t="s">
        <v>141</v>
      </c>
      <c r="B37" s="25" t="n">
        <v>-4474</v>
      </c>
      <c r="C37" s="25" t="n">
        <v>-3283</v>
      </c>
      <c r="D37" s="25" t="n">
        <v>-3589</v>
      </c>
      <c r="E37" s="25" t="n">
        <v>-5055</v>
      </c>
    </row>
    <row r="38" customFormat="false" ht="15" hidden="false" customHeight="true" outlineLevel="0" collapsed="false">
      <c r="A38" s="24" t="s">
        <v>142</v>
      </c>
      <c r="B38" s="25" t="n">
        <v>-885</v>
      </c>
      <c r="C38" s="25" t="n">
        <v>148</v>
      </c>
      <c r="D38" s="25" t="n">
        <v>-2537</v>
      </c>
      <c r="E38" s="25" t="n">
        <v>2396</v>
      </c>
    </row>
    <row r="39" customFormat="false" ht="15" hidden="false" customHeight="true" outlineLevel="0" collapsed="false">
      <c r="A39" s="26" t="s">
        <v>143</v>
      </c>
      <c r="B39" s="27" t="n">
        <f aca="false">SUM(B32:B38)</f>
        <v>-9152</v>
      </c>
      <c r="C39" s="27" t="n">
        <f aca="false">SUM(C32:C38)</f>
        <v>-11385</v>
      </c>
      <c r="D39" s="27" t="n">
        <f aca="false">SUM(D32:D38)</f>
        <v>-9758</v>
      </c>
      <c r="E39" s="27" t="n">
        <f aca="false">SUM(E32:E38)</f>
        <v>-7362</v>
      </c>
    </row>
    <row r="40" customFormat="false" ht="15" hidden="false" customHeight="true" outlineLevel="0" collapsed="false">
      <c r="A40" s="3"/>
      <c r="B40" s="3"/>
      <c r="C40" s="3"/>
      <c r="D40" s="3"/>
      <c r="E40" s="3"/>
    </row>
    <row r="41" customFormat="false" ht="15" hidden="false" customHeight="true" outlineLevel="0" collapsed="false">
      <c r="A41" s="32" t="s">
        <v>144</v>
      </c>
      <c r="B41" s="3"/>
      <c r="C41" s="3"/>
      <c r="D41" s="3"/>
      <c r="E41" s="3"/>
    </row>
    <row r="42" customFormat="false" ht="15" hidden="false" customHeight="true" outlineLevel="0" collapsed="false">
      <c r="A42" s="24" t="s">
        <v>145</v>
      </c>
      <c r="B42" s="25" t="n">
        <v>89</v>
      </c>
      <c r="C42" s="25" t="n">
        <v>-100</v>
      </c>
      <c r="D42" s="25" t="n">
        <v>-682</v>
      </c>
      <c r="E42" s="25" t="n">
        <v>53</v>
      </c>
    </row>
    <row r="43" customFormat="false" ht="15" hidden="false" customHeight="true" outlineLevel="0" collapsed="false">
      <c r="A43" s="26" t="s">
        <v>146</v>
      </c>
      <c r="B43" s="27" t="n">
        <f aca="false">B18+B29+B39+B42</f>
        <v>1757</v>
      </c>
      <c r="C43" s="27" t="n">
        <f aca="false">C18+C29+C39+C42</f>
        <v>-1481</v>
      </c>
      <c r="D43" s="27" t="n">
        <f aca="false">D18+D29+D39+D42</f>
        <v>-695</v>
      </c>
      <c r="E43" s="27" t="n">
        <f aca="false">E18+E29+E39+E42</f>
        <v>742</v>
      </c>
    </row>
    <row r="44" customFormat="false" ht="15" hidden="false" customHeight="true" outlineLevel="0" collapsed="false">
      <c r="A44" s="24" t="s">
        <v>147</v>
      </c>
      <c r="B44" s="25" t="n">
        <v>5235</v>
      </c>
      <c r="C44" s="25" t="n">
        <v>6992</v>
      </c>
      <c r="D44" s="25" t="n">
        <v>5511</v>
      </c>
      <c r="E44" s="25" t="n">
        <v>4816</v>
      </c>
    </row>
    <row r="45" customFormat="false" ht="15" hidden="false" customHeight="true" outlineLevel="0" collapsed="false">
      <c r="A45" s="26" t="s">
        <v>148</v>
      </c>
      <c r="B45" s="27" t="n">
        <f aca="false">B44+B43</f>
        <v>6992</v>
      </c>
      <c r="C45" s="27" t="n">
        <f aca="false">C44+C43</f>
        <v>5511</v>
      </c>
      <c r="D45" s="27" t="n">
        <f aca="false">D44+D43</f>
        <v>4816</v>
      </c>
      <c r="E45" s="27" t="n">
        <f aca="false">E44+E43</f>
        <v>5558</v>
      </c>
    </row>
    <row r="46" customFormat="false" ht="15" hidden="false" customHeight="true" outlineLevel="0" collapsed="false">
      <c r="A46" s="24" t="s">
        <v>149</v>
      </c>
      <c r="B46" s="25" t="n">
        <v>-4</v>
      </c>
      <c r="C46" s="25" t="n">
        <v>0</v>
      </c>
      <c r="D46" s="25" t="n">
        <v>0</v>
      </c>
      <c r="E46" s="25" t="n">
        <v>-2</v>
      </c>
    </row>
    <row r="47" customFormat="false" ht="15" hidden="false" customHeight="true" outlineLevel="0" collapsed="false">
      <c r="A47" s="26" t="s">
        <v>150</v>
      </c>
      <c r="B47" s="27" t="n">
        <f aca="false">B45+B46</f>
        <v>6988</v>
      </c>
      <c r="C47" s="27" t="n">
        <f aca="false">C45+C46</f>
        <v>5511</v>
      </c>
      <c r="D47" s="27" t="n">
        <f aca="false">D45+D46</f>
        <v>4816</v>
      </c>
      <c r="E47" s="27" t="n">
        <f aca="false">E45+E46</f>
        <v>5556</v>
      </c>
    </row>
    <row r="48" customFormat="false" ht="15" hidden="false" customHeight="true" outlineLevel="0" collapsed="false">
      <c r="A48" s="3"/>
      <c r="B48" s="3"/>
      <c r="C48" s="3"/>
      <c r="D48" s="3"/>
      <c r="E48" s="3"/>
    </row>
    <row r="49" customFormat="false" ht="15" hidden="false" customHeight="true" outlineLevel="0" collapsed="false">
      <c r="A49" s="32" t="s">
        <v>151</v>
      </c>
      <c r="B49" s="3"/>
      <c r="C49" s="3"/>
      <c r="D49" s="3"/>
      <c r="E49" s="3"/>
    </row>
    <row r="50" customFormat="false" ht="15" hidden="false" customHeight="true" outlineLevel="0" collapsed="false">
      <c r="A50" s="24" t="s">
        <v>152</v>
      </c>
      <c r="B50" s="25" t="n">
        <v>8700</v>
      </c>
      <c r="C50" s="25" t="n">
        <v>6600</v>
      </c>
      <c r="D50" s="25" t="n">
        <v>10403</v>
      </c>
      <c r="E50" s="25" t="n">
        <v>10666</v>
      </c>
    </row>
    <row r="51" customFormat="false" ht="15" hidden="false" customHeight="true" outlineLevel="0" collapsed="false">
      <c r="A51" s="26" t="s">
        <v>153</v>
      </c>
      <c r="B51" s="27" t="n">
        <f aca="false">B18+B21+B22</f>
        <v>8523</v>
      </c>
      <c r="C51" s="27" t="n">
        <f aca="false">C18+C21+C22</f>
        <v>6546</v>
      </c>
      <c r="D51" s="27" t="n">
        <f aca="false">D18+D21+D22</f>
        <v>9738</v>
      </c>
      <c r="E51" s="27" t="n">
        <f aca="false">E18+E21+E22</f>
        <v>10712</v>
      </c>
    </row>
    <row r="52" customFormat="false" ht="15" hidden="false" customHeight="true" outlineLevel="0" collapsed="false">
      <c r="A52" s="4" t="s">
        <v>154</v>
      </c>
      <c r="B52" s="33" t="n">
        <f aca="false">IFERROR(B50/'1. Income_Statement'!B4,"")</f>
        <v>0.0998989527833915</v>
      </c>
      <c r="C52" s="33" t="n">
        <f aca="false">IFERROR(C50/'1. Income_Statement'!C4,"")</f>
        <v>0.0698974836905871</v>
      </c>
      <c r="D52" s="33" t="n">
        <f aca="false">IFERROR(D50/'1. Income_Statement'!D4,"")</f>
        <v>0.11186262070152</v>
      </c>
      <c r="E52" s="33" t="n">
        <f aca="false">IFERROR(E50/'1. Income_Statement'!E4,"")</f>
        <v>0.11675460297305</v>
      </c>
    </row>
    <row r="53" customFormat="false" ht="15" hidden="false" customHeight="true" outlineLevel="0" collapsed="false">
      <c r="A53" s="3"/>
      <c r="B53" s="3"/>
      <c r="C53" s="3"/>
      <c r="D53" s="3"/>
      <c r="E53" s="3"/>
    </row>
    <row r="54" customFormat="false" ht="30" hidden="false" customHeight="true" outlineLevel="0" collapsed="false">
      <c r="A54" s="31" t="s">
        <v>155</v>
      </c>
      <c r="B54" s="3"/>
      <c r="C54" s="3"/>
      <c r="D54" s="3"/>
      <c r="E54" s="3"/>
    </row>
    <row r="55" customFormat="false" ht="30" hidden="false" customHeight="true" outlineLevel="0" collapsed="false">
      <c r="A55" s="31" t="s">
        <v>156</v>
      </c>
      <c r="B55" s="3"/>
      <c r="C55" s="3"/>
      <c r="D55" s="3"/>
      <c r="E55" s="3"/>
    </row>
    <row r="56" customFormat="false" ht="30" hidden="false" customHeight="true" outlineLevel="0" collapsed="false">
      <c r="A56" s="31" t="s">
        <v>157</v>
      </c>
      <c r="B56" s="3"/>
      <c r="C56" s="3"/>
      <c r="D56" s="3"/>
      <c r="E56" s="3"/>
    </row>
    <row r="57" customFormat="false" ht="30" hidden="false" customHeight="true" outlineLevel="0" collapsed="false">
      <c r="A57" s="31" t="s">
        <v>158</v>
      </c>
      <c r="B57" s="3"/>
      <c r="C57" s="3"/>
      <c r="D57" s="3"/>
      <c r="E5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F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2"/>
    <col collapsed="false" customWidth="true" hidden="false" outlineLevel="0" max="6" min="2" style="8" width="14"/>
  </cols>
  <sheetData>
    <row r="1" customFormat="false" ht="15" hidden="false" customHeight="true" outlineLevel="0" collapsed="false">
      <c r="A1" s="34" t="s">
        <v>159</v>
      </c>
    </row>
    <row r="2" customFormat="false" ht="30" hidden="false" customHeight="true" outlineLevel="0" collapsed="false">
      <c r="A2" s="31" t="s">
        <v>160</v>
      </c>
    </row>
    <row r="4" customFormat="false" ht="18" hidden="false" customHeight="true" outlineLevel="0" collapsed="false">
      <c r="A4" s="23" t="s">
        <v>161</v>
      </c>
      <c r="B4" s="35"/>
      <c r="C4" s="35"/>
      <c r="D4" s="35"/>
      <c r="E4" s="35"/>
      <c r="F4" s="35"/>
    </row>
    <row r="5" customFormat="false" ht="15" hidden="false" customHeight="true" outlineLevel="0" collapsed="false">
      <c r="A5" s="23" t="s">
        <v>162</v>
      </c>
      <c r="B5" s="23" t="s">
        <v>73</v>
      </c>
      <c r="C5" s="23" t="s">
        <v>75</v>
      </c>
      <c r="D5" s="23" t="s">
        <v>163</v>
      </c>
    </row>
    <row r="6" customFormat="false" ht="15" hidden="false" customHeight="true" outlineLevel="0" collapsed="false">
      <c r="A6" s="24" t="s">
        <v>164</v>
      </c>
      <c r="B6" s="36" t="n">
        <f aca="false">'1. Segment_Data'!Q12</f>
        <v>0.001</v>
      </c>
      <c r="C6" s="36" t="n">
        <f aca="false">'1. Segment_Data'!V12</f>
        <v>0.008</v>
      </c>
    </row>
    <row r="7" customFormat="false" ht="15" hidden="false" customHeight="true" outlineLevel="0" collapsed="false">
      <c r="A7" s="24" t="s">
        <v>165</v>
      </c>
      <c r="B7" s="36" t="n">
        <f aca="false">'1. Segment_Data'!R12</f>
        <v>0.082</v>
      </c>
      <c r="C7" s="36" t="n">
        <f aca="false">'1. Segment_Data'!W12</f>
        <v>0.015</v>
      </c>
    </row>
    <row r="8" customFormat="false" ht="15" hidden="false" customHeight="true" outlineLevel="0" collapsed="false">
      <c r="A8" s="37" t="s">
        <v>166</v>
      </c>
      <c r="B8" s="38" t="n">
        <f aca="false">'1. Segment_Data'!S12</f>
        <v>0.083</v>
      </c>
      <c r="C8" s="38" t="n">
        <f aca="false">'1. Segment_Data'!X12</f>
        <v>0.022</v>
      </c>
      <c r="D8" s="38" t="n">
        <f aca="false">'2. Assumptions_FY2025'!B5</f>
        <v>0.03</v>
      </c>
    </row>
    <row r="9" customFormat="false" ht="15" hidden="false" customHeight="true" outlineLevel="0" collapsed="false">
      <c r="A9" s="24" t="s">
        <v>167</v>
      </c>
      <c r="B9" s="36" t="n">
        <f aca="false">'1. Segment_Data'!T12</f>
        <v>0.011</v>
      </c>
      <c r="C9" s="36" t="n">
        <f aca="false">'1. Segment_Data'!Y12</f>
        <v>-0.003</v>
      </c>
      <c r="D9" s="36" t="n">
        <f aca="false">'2. Assumptions_FY2025'!B6</f>
        <v>0</v>
      </c>
    </row>
    <row r="10" customFormat="false" ht="15" hidden="false" customHeight="true" outlineLevel="0" collapsed="false">
      <c r="A10" s="24" t="s">
        <v>168</v>
      </c>
      <c r="B10" s="36" t="n">
        <f aca="false">'1. Segment_Data'!U12</f>
        <v>-0.009</v>
      </c>
      <c r="C10" s="36" t="n">
        <f aca="false">'1. Segment_Data'!Z12</f>
        <v>-0.037</v>
      </c>
      <c r="D10" s="36" t="n">
        <f aca="false">'2. Assumptions_FY2025'!B7</f>
        <v>0</v>
      </c>
    </row>
    <row r="11" customFormat="false" ht="15" hidden="false" customHeight="true" outlineLevel="0" collapsed="false">
      <c r="A11" s="37" t="s">
        <v>169</v>
      </c>
      <c r="B11" s="38" t="n">
        <f aca="false">B8+B9+B10</f>
        <v>0.085</v>
      </c>
      <c r="C11" s="38" t="n">
        <f aca="false">C8+C9+C10</f>
        <v>-0.018</v>
      </c>
      <c r="D11" s="38" t="n">
        <f aca="false">'2. Assumptions_FY2025'!B8</f>
        <v>0.03</v>
      </c>
    </row>
    <row r="13" customFormat="false" ht="15" hidden="false" customHeight="true" outlineLevel="0" collapsed="false">
      <c r="A13" s="39" t="s">
        <v>170</v>
      </c>
    </row>
    <row r="14" customFormat="false" ht="15" hidden="false" customHeight="true" outlineLevel="0" collapsed="false">
      <c r="A14" s="24" t="s">
        <v>171</v>
      </c>
      <c r="B14" s="36" t="n">
        <f aca="false">'1. Segment_Data'!F12</f>
        <v>0.0842366342090759</v>
      </c>
      <c r="C14" s="36" t="n">
        <f aca="false">'1. Segment_Data'!H12</f>
        <v>-0.0176777995225704</v>
      </c>
    </row>
    <row r="16" customFormat="false" ht="54.75" hidden="false" customHeight="true" outlineLevel="0" collapsed="false">
      <c r="A16" s="31" t="s">
        <v>172</v>
      </c>
    </row>
    <row r="18" customFormat="false" ht="15" hidden="false" customHeight="true" outlineLevel="0" collapsed="false">
      <c r="A18" s="40" t="s">
        <v>173</v>
      </c>
    </row>
    <row r="19" customFormat="false" ht="15" hidden="false" customHeight="true" outlineLevel="0" collapsed="false">
      <c r="A19" s="23" t="s">
        <v>174</v>
      </c>
      <c r="B19" s="23" t="s">
        <v>162</v>
      </c>
      <c r="C19" s="23" t="s">
        <v>175</v>
      </c>
    </row>
    <row r="20" customFormat="false" ht="15" hidden="false" customHeight="true" outlineLevel="0" collapsed="false">
      <c r="A20" s="24" t="s">
        <v>73</v>
      </c>
      <c r="B20" s="24" t="s">
        <v>176</v>
      </c>
      <c r="C20" s="29" t="n">
        <f aca="false">B6</f>
        <v>0.001</v>
      </c>
    </row>
    <row r="21" customFormat="false" ht="15" hidden="false" customHeight="true" outlineLevel="0" collapsed="false">
      <c r="A21" s="24" t="s">
        <v>73</v>
      </c>
      <c r="B21" s="24" t="s">
        <v>165</v>
      </c>
      <c r="C21" s="29" t="n">
        <f aca="false">B7</f>
        <v>0.082</v>
      </c>
    </row>
    <row r="22" customFormat="false" ht="15" hidden="false" customHeight="true" outlineLevel="0" collapsed="false">
      <c r="A22" s="24" t="s">
        <v>73</v>
      </c>
      <c r="B22" s="24" t="s">
        <v>177</v>
      </c>
      <c r="C22" s="29" t="n">
        <f aca="false">B9</f>
        <v>0.011</v>
      </c>
    </row>
    <row r="23" customFormat="false" ht="15" hidden="false" customHeight="true" outlineLevel="0" collapsed="false">
      <c r="A23" s="24" t="s">
        <v>73</v>
      </c>
      <c r="B23" s="24" t="s">
        <v>178</v>
      </c>
      <c r="C23" s="29" t="n">
        <f aca="false">B10</f>
        <v>-0.009</v>
      </c>
    </row>
    <row r="24" customFormat="false" ht="15" hidden="false" customHeight="true" outlineLevel="0" collapsed="false">
      <c r="A24" s="24" t="s">
        <v>73</v>
      </c>
      <c r="B24" s="24" t="s">
        <v>169</v>
      </c>
      <c r="C24" s="29" t="n">
        <f aca="false">B11</f>
        <v>0.085</v>
      </c>
    </row>
    <row r="25" customFormat="false" ht="15" hidden="false" customHeight="true" outlineLevel="0" collapsed="false">
      <c r="A25" s="24" t="s">
        <v>75</v>
      </c>
      <c r="B25" s="24" t="s">
        <v>176</v>
      </c>
      <c r="C25" s="29" t="n">
        <f aca="false">C6</f>
        <v>0.008</v>
      </c>
    </row>
    <row r="26" customFormat="false" ht="15" hidden="false" customHeight="true" outlineLevel="0" collapsed="false">
      <c r="A26" s="24" t="s">
        <v>75</v>
      </c>
      <c r="B26" s="24" t="s">
        <v>165</v>
      </c>
      <c r="C26" s="29" t="n">
        <f aca="false">C7</f>
        <v>0.015</v>
      </c>
    </row>
    <row r="27" customFormat="false" ht="15" hidden="false" customHeight="true" outlineLevel="0" collapsed="false">
      <c r="A27" s="24" t="s">
        <v>75</v>
      </c>
      <c r="B27" s="24" t="s">
        <v>177</v>
      </c>
      <c r="C27" s="29" t="n">
        <f aca="false">C9</f>
        <v>-0.003</v>
      </c>
    </row>
    <row r="28" customFormat="false" ht="15" hidden="false" customHeight="true" outlineLevel="0" collapsed="false">
      <c r="A28" s="24" t="s">
        <v>75</v>
      </c>
      <c r="B28" s="24" t="s">
        <v>178</v>
      </c>
      <c r="C28" s="29" t="n">
        <f aca="false">C10</f>
        <v>-0.037</v>
      </c>
    </row>
    <row r="29" customFormat="false" ht="15" hidden="false" customHeight="true" outlineLevel="0" collapsed="false">
      <c r="A29" s="24" t="s">
        <v>75</v>
      </c>
      <c r="B29" s="24" t="s">
        <v>169</v>
      </c>
      <c r="C29" s="29" t="n">
        <f aca="false">C11</f>
        <v>-0.018</v>
      </c>
    </row>
    <row r="30" customFormat="false" ht="15" hidden="false" customHeight="true" outlineLevel="0" collapsed="false">
      <c r="A30" s="24" t="s">
        <v>163</v>
      </c>
      <c r="B30" s="24" t="s">
        <v>179</v>
      </c>
      <c r="C30" s="29" t="n">
        <f aca="false">D8</f>
        <v>0.03</v>
      </c>
    </row>
    <row r="31" customFormat="false" ht="15" hidden="false" customHeight="true" outlineLevel="0" collapsed="false">
      <c r="A31" s="24" t="s">
        <v>163</v>
      </c>
      <c r="B31" s="24" t="s">
        <v>177</v>
      </c>
      <c r="C31" s="29" t="n">
        <f aca="false">D9</f>
        <v>0</v>
      </c>
    </row>
    <row r="32" customFormat="false" ht="15" hidden="false" customHeight="true" outlineLevel="0" collapsed="false">
      <c r="A32" s="24" t="s">
        <v>163</v>
      </c>
      <c r="B32" s="24" t="s">
        <v>178</v>
      </c>
      <c r="C32" s="29" t="n">
        <f aca="false">D10</f>
        <v>0</v>
      </c>
    </row>
    <row r="33" customFormat="false" ht="15" hidden="false" customHeight="true" outlineLevel="0" collapsed="false">
      <c r="A33" s="24" t="s">
        <v>163</v>
      </c>
      <c r="B33" s="24" t="s">
        <v>169</v>
      </c>
      <c r="C33" s="29" t="n">
        <f aca="false">D11</f>
        <v>0.03</v>
      </c>
    </row>
    <row r="36" customFormat="false" ht="18" hidden="false" customHeight="true" outlineLevel="0" collapsed="false">
      <c r="A36" s="23" t="s">
        <v>180</v>
      </c>
      <c r="B36" s="35"/>
      <c r="C36" s="35"/>
      <c r="D36" s="35"/>
      <c r="E36" s="35"/>
      <c r="F36" s="35"/>
    </row>
    <row r="37" customFormat="false" ht="15" hidden="false" customHeight="true" outlineLevel="0" collapsed="false">
      <c r="A37" s="23" t="s">
        <v>181</v>
      </c>
      <c r="B37" s="23" t="s">
        <v>72</v>
      </c>
      <c r="C37" s="23" t="s">
        <v>73</v>
      </c>
      <c r="D37" s="23" t="s">
        <v>74</v>
      </c>
      <c r="E37" s="23" t="s">
        <v>75</v>
      </c>
      <c r="F37" s="23" t="s">
        <v>163</v>
      </c>
    </row>
    <row r="38" customFormat="false" ht="15" hidden="false" customHeight="true" outlineLevel="0" collapsed="false">
      <c r="A38" s="24" t="s">
        <v>182</v>
      </c>
      <c r="B38" s="36" t="n">
        <f aca="false">-'1. Income_Statement'!B6/'1. Income_Statement'!B4</f>
        <v>0.522092595994856</v>
      </c>
      <c r="C38" s="36" t="n">
        <f aca="false">-'1. Income_Statement'!C6/'1. Income_Statement'!C4</f>
        <v>0.548006862662035</v>
      </c>
      <c r="D38" s="36" t="n">
        <f aca="false">-'1. Income_Statement'!D6/'1. Income_Statement'!D4</f>
        <v>0.541172928450074</v>
      </c>
      <c r="E38" s="36" t="n">
        <f aca="false">-'1. Income_Statement'!E6/'1. Income_Statement'!E4</f>
        <v>0.532762659544191</v>
      </c>
      <c r="F38" s="36" t="n">
        <f aca="false">-'2. Budget_FY2025_PL_CF'!C7/'2. Budget_FY2025_PL_CF'!C5</f>
        <v>0.529</v>
      </c>
    </row>
    <row r="39" customFormat="false" ht="15" hidden="false" customHeight="true" outlineLevel="0" collapsed="false">
      <c r="A39" s="24" t="s">
        <v>183</v>
      </c>
      <c r="B39" s="36" t="n">
        <f aca="false">-'1. Income_Statement'!B7/'1. Income_Statement'!B4</f>
        <v>0.0909310123093882</v>
      </c>
      <c r="C39" s="36" t="n">
        <f aca="false">-'1. Income_Statement'!C7/'1. Income_Statement'!C4</f>
        <v>0.0888121663983733</v>
      </c>
      <c r="D39" s="36" t="n">
        <f aca="false">-'1. Income_Statement'!D7/'1. Income_Statement'!D4</f>
        <v>0.0834964192778339</v>
      </c>
      <c r="E39" s="36" t="n">
        <f aca="false">-'1. Income_Statement'!E7/'1. Income_Statement'!E4</f>
        <v>0.0828316220417278</v>
      </c>
      <c r="F39" s="36" t="n">
        <f aca="false">-'2. Budget_FY2025_PL_CF'!C8/'2. Budget_FY2025_PL_CF'!C5</f>
        <v>0.082</v>
      </c>
    </row>
    <row r="40" customFormat="false" ht="15" hidden="false" customHeight="true" outlineLevel="0" collapsed="false">
      <c r="A40" s="24" t="s">
        <v>184</v>
      </c>
      <c r="B40" s="36" t="n">
        <f aca="false">-'1. Income_Statement'!B8/'1. Income_Statement'!B4</f>
        <v>0.198580745912181</v>
      </c>
      <c r="C40" s="36" t="n">
        <f aca="false">-'1. Income_Statement'!C8/'1. Income_Statement'!C4</f>
        <v>0.178450393967635</v>
      </c>
      <c r="D40" s="36" t="n">
        <f aca="false">-'1. Income_Statement'!D8/'1. Income_Statement'!D4</f>
        <v>0.188702982859846</v>
      </c>
      <c r="E40" s="36" t="n">
        <f aca="false">-'1. Income_Statement'!E8/'1. Income_Statement'!E4</f>
        <v>0.198261707204939</v>
      </c>
      <c r="F40" s="36" t="n">
        <f aca="false">-'2. Budget_FY2025_PL_CF'!C9/'2. Budget_FY2025_PL_CF'!C5</f>
        <v>0.209</v>
      </c>
    </row>
    <row r="41" customFormat="false" ht="15" hidden="false" customHeight="true" outlineLevel="0" collapsed="false">
      <c r="A41" s="24" t="s">
        <v>185</v>
      </c>
      <c r="B41" s="36" t="n">
        <f aca="false">-'1. Income_Statement'!B9/'1. Income_Statement'!B4</f>
        <v>0.0191760058791108</v>
      </c>
      <c r="C41" s="36" t="n">
        <f aca="false">-'1. Income_Statement'!C9/'1. Income_Statement'!C4</f>
        <v>0.0179615352029145</v>
      </c>
      <c r="D41" s="36" t="n">
        <f aca="false">-'1. Income_Statement'!D9/'1. Income_Statement'!D4</f>
        <v>0.0178068345555818</v>
      </c>
      <c r="E41" s="36" t="n">
        <f aca="false">-'1. Income_Statement'!E9/'1. Income_Statement'!E4</f>
        <v>0.018247695776868</v>
      </c>
      <c r="F41" s="36" t="n">
        <f aca="false">-'2. Budget_FY2025_PL_CF'!C10/'2. Budget_FY2025_PL_CF'!C5</f>
        <v>0.018</v>
      </c>
    </row>
    <row r="42" customFormat="false" ht="15" hidden="false" customHeight="true" outlineLevel="0" collapsed="false">
      <c r="A42" s="37" t="s">
        <v>98</v>
      </c>
      <c r="B42" s="38" t="n">
        <f aca="false">'1. Income_Statement'!B27</f>
        <v>0.173606007716333</v>
      </c>
      <c r="C42" s="38" t="n">
        <f aca="false">'1. Income_Statement'!C27</f>
        <v>0.170539269677201</v>
      </c>
      <c r="D42" s="38" t="n">
        <f aca="false">'1. Income_Statement'!D27</f>
        <v>0.172616615411084</v>
      </c>
      <c r="E42" s="38" t="n">
        <f aca="false">'1. Income_Statement'!E27</f>
        <v>0.171902708146332</v>
      </c>
      <c r="F42" s="38" t="n">
        <f aca="false">'2. Budget_FY2025_PL_CF'!C26</f>
        <v>0.166</v>
      </c>
    </row>
    <row r="43" customFormat="false" ht="15" hidden="false" customHeight="true" outlineLevel="0" collapsed="false">
      <c r="A43" s="24" t="s">
        <v>186</v>
      </c>
      <c r="B43" s="36" t="n">
        <f aca="false">('1. Income_Statement'!B11+'1. Income_Statement'!B12)/'1. Income_Statement'!B4</f>
        <v>-0.033988609222855</v>
      </c>
      <c r="C43" s="36" t="n">
        <f aca="false">('1. Income_Statement'!C11+'1. Income_Statement'!C12)/'1. Income_Statement'!C4</f>
        <v>-0.030797254935186</v>
      </c>
      <c r="D43" s="36" t="n">
        <f aca="false">('1. Income_Statement'!D11+'1. Income_Statement'!D12)/'1. Income_Statement'!D4</f>
        <v>-0.0164842254672144</v>
      </c>
      <c r="E43" s="36" t="n">
        <f aca="false">('1. Income_Statement'!E11+'1. Income_Statement'!E12)/'1. Income_Statement'!E4</f>
        <v>-0.0117236245812991</v>
      </c>
      <c r="F43" s="36" t="n">
        <f aca="false">'2. Budget_FY2025_PL_CF'!C12/'2. Budget_FY2025_PL_CF'!C5</f>
        <v>-0.014</v>
      </c>
    </row>
    <row r="44" customFormat="false" ht="15" hidden="false" customHeight="true" outlineLevel="0" collapsed="false">
      <c r="A44" s="37" t="s">
        <v>99</v>
      </c>
      <c r="B44" s="38" t="n">
        <f aca="false">'1. Income_Statement'!B28</f>
        <v>0.139617398493478</v>
      </c>
      <c r="C44" s="38" t="n">
        <f aca="false">'1. Income_Statement'!C28</f>
        <v>0.139742014742015</v>
      </c>
      <c r="D44" s="38" t="n">
        <f aca="false">'1. Income_Statement'!D28</f>
        <v>0.15613238994387</v>
      </c>
      <c r="E44" s="38" t="n">
        <f aca="false">'1. Income_Statement'!E28</f>
        <v>0.160179083565033</v>
      </c>
      <c r="F44" s="38" t="n">
        <f aca="false">'2. Budget_FY2025_PL_CF'!C27</f>
        <v>0.152</v>
      </c>
    </row>
    <row r="45" customFormat="false" ht="15" hidden="false" customHeight="true" outlineLevel="0" collapsed="false">
      <c r="A45" s="24" t="s">
        <v>187</v>
      </c>
      <c r="B45" s="36" t="n">
        <f aca="false">('1. Income_Statement'!B14+'1. Income_Statement'!B15)/'1. Income_Statement'!B4</f>
        <v>-0.00551166636046298</v>
      </c>
      <c r="C45" s="36" t="n">
        <f aca="false">('1. Income_Statement'!C14+'1. Income_Statement'!C15)/'1. Income_Statement'!C4</f>
        <v>-0.00920316868592731</v>
      </c>
      <c r="D45" s="36" t="n">
        <f aca="false">('1. Income_Statement'!D14+'1. Income_Statement'!D15)/'1. Income_Statement'!D4</f>
        <v>-0.0049140841738532</v>
      </c>
      <c r="E45" s="36" t="n">
        <f aca="false">('1. Income_Statement'!E14+'1. Income_Statement'!E15)/'1. Income_Statement'!E4</f>
        <v>0.000996124964424108</v>
      </c>
      <c r="F45" s="36" t="n">
        <f aca="false">'2. Budget_FY2025_PL_CF'!C14/'2. Budget_FY2025_PL_CF'!C5</f>
        <v>-0.002</v>
      </c>
    </row>
    <row r="46" customFormat="false" ht="15" hidden="false" customHeight="true" outlineLevel="0" collapsed="false">
      <c r="A46" s="37" t="s">
        <v>100</v>
      </c>
      <c r="B46" s="38" t="n">
        <f aca="false">'1. Income_Statement'!B29</f>
        <v>0.134105732133015</v>
      </c>
      <c r="C46" s="38" t="n">
        <f aca="false">'1. Income_Statement'!C29</f>
        <v>0.130538846056087</v>
      </c>
      <c r="D46" s="38" t="n">
        <f aca="false">'1. Income_Statement'!D29</f>
        <v>0.151218305770017</v>
      </c>
      <c r="E46" s="38" t="n">
        <f aca="false">'1. Income_Statement'!E29</f>
        <v>0.161175208529457</v>
      </c>
      <c r="F46" s="38" t="n">
        <f aca="false">'2. Budget_FY2025_PL_CF'!C28</f>
        <v>0.15</v>
      </c>
    </row>
    <row r="47" customFormat="false" ht="15" hidden="false" customHeight="true" outlineLevel="0" collapsed="false">
      <c r="A47" s="24" t="s">
        <v>188</v>
      </c>
      <c r="B47" s="36" t="n">
        <f aca="false">-'1. Income_Statement'!B19/'1. Income_Statement'!B4</f>
        <v>0.010024343193092</v>
      </c>
      <c r="C47" s="36" t="n">
        <f aca="false">-'1. Income_Statement'!C19/'1. Income_Statement'!C4</f>
        <v>0.0110141489451834</v>
      </c>
      <c r="D47" s="36" t="n">
        <f aca="false">-'1. Income_Statement'!D19/'1. Income_Statement'!D4</f>
        <v>0.0146239704079658</v>
      </c>
      <c r="E47" s="36" t="n">
        <f aca="false">-'1. Income_Statement'!E19/'1. Income_Statement'!E4</f>
        <v>0.0162554458480198</v>
      </c>
      <c r="F47" s="36" t="n">
        <f aca="false">-'2. Budget_FY2025_PL_CF'!C18/'2. Budget_FY2025_PL_CF'!C5</f>
        <v>0.0165710855732241</v>
      </c>
    </row>
    <row r="48" customFormat="false" ht="15" hidden="false" customHeight="true" outlineLevel="0" collapsed="false">
      <c r="A48" s="24" t="s">
        <v>189</v>
      </c>
      <c r="B48" s="36" t="n">
        <f aca="false">'1. Income_Statement'!B31</f>
        <v>0.209235609846382</v>
      </c>
      <c r="C48" s="36" t="n">
        <f aca="false">'1. Income_Statement'!C31</f>
        <v>0.241892610313663</v>
      </c>
      <c r="D48" s="36" t="n">
        <f aca="false">'1. Income_Statement'!D31</f>
        <v>0.182161694088011</v>
      </c>
      <c r="E48" s="36" t="n">
        <f aca="false">'1. Income_Statement'!E31</f>
        <v>0.250321021225168</v>
      </c>
      <c r="F48" s="36" t="n">
        <f aca="false">'2. Budget_FY2025_PL_CF'!C30</f>
        <v>0.24</v>
      </c>
    </row>
    <row r="49" customFormat="false" ht="15" hidden="false" customHeight="true" outlineLevel="0" collapsed="false">
      <c r="A49" s="37" t="s">
        <v>101</v>
      </c>
      <c r="B49" s="38" t="n">
        <f aca="false">'1. Income_Statement'!B30</f>
        <v>0.194113999632556</v>
      </c>
      <c r="C49" s="38" t="n">
        <f aca="false">'1. Income_Statement'!C30</f>
        <v>0.0981741930017792</v>
      </c>
      <c r="D49" s="38" t="n">
        <f aca="false">'1. Income_Statement'!D30</f>
        <v>0.120529473752124</v>
      </c>
      <c r="E49" s="38" t="n">
        <f aca="false">'1. Income_Statement'!E30</f>
        <v>0.119140924316396</v>
      </c>
      <c r="F49" s="38" t="n">
        <f aca="false">'2. Budget_FY2025_PL_CF'!C29</f>
        <v>0.112732471700507</v>
      </c>
    </row>
    <row r="51" customFormat="false" ht="30" hidden="false" customHeight="true" outlineLevel="0" collapsed="false">
      <c r="A51" s="31" t="s">
        <v>190</v>
      </c>
    </row>
    <row r="53" customFormat="false" ht="15" hidden="false" customHeight="true" outlineLevel="0" collapsed="false">
      <c r="A53" s="40" t="s">
        <v>173</v>
      </c>
    </row>
    <row r="54" customFormat="false" ht="15" hidden="false" customHeight="true" outlineLevel="0" collapsed="false">
      <c r="A54" s="23" t="s">
        <v>174</v>
      </c>
      <c r="B54" s="23" t="s">
        <v>181</v>
      </c>
      <c r="C54" s="23" t="s">
        <v>175</v>
      </c>
    </row>
    <row r="55" customFormat="false" ht="15" hidden="false" customHeight="true" outlineLevel="0" collapsed="false">
      <c r="A55" s="24" t="s">
        <v>72</v>
      </c>
      <c r="B55" s="24" t="s">
        <v>182</v>
      </c>
      <c r="C55" s="29" t="n">
        <f aca="false">B38</f>
        <v>0.522092595994856</v>
      </c>
    </row>
    <row r="56" customFormat="false" ht="15" hidden="false" customHeight="true" outlineLevel="0" collapsed="false">
      <c r="A56" s="24" t="s">
        <v>73</v>
      </c>
      <c r="B56" s="24" t="s">
        <v>182</v>
      </c>
      <c r="C56" s="29" t="n">
        <f aca="false">C38</f>
        <v>0.548006862662035</v>
      </c>
    </row>
    <row r="57" customFormat="false" ht="15" hidden="false" customHeight="true" outlineLevel="0" collapsed="false">
      <c r="A57" s="24" t="s">
        <v>74</v>
      </c>
      <c r="B57" s="24" t="s">
        <v>182</v>
      </c>
      <c r="C57" s="29" t="n">
        <f aca="false">D38</f>
        <v>0.541172928450074</v>
      </c>
    </row>
    <row r="58" customFormat="false" ht="15" hidden="false" customHeight="true" outlineLevel="0" collapsed="false">
      <c r="A58" s="24" t="s">
        <v>75</v>
      </c>
      <c r="B58" s="24" t="s">
        <v>182</v>
      </c>
      <c r="C58" s="29" t="n">
        <f aca="false">E38</f>
        <v>0.532762659544191</v>
      </c>
    </row>
    <row r="59" customFormat="false" ht="15" hidden="false" customHeight="true" outlineLevel="0" collapsed="false">
      <c r="A59" s="24" t="s">
        <v>163</v>
      </c>
      <c r="B59" s="24" t="s">
        <v>182</v>
      </c>
      <c r="C59" s="29" t="n">
        <f aca="false">F38</f>
        <v>0.529</v>
      </c>
    </row>
    <row r="60" customFormat="false" ht="15" hidden="false" customHeight="true" outlineLevel="0" collapsed="false">
      <c r="A60" s="24" t="s">
        <v>72</v>
      </c>
      <c r="B60" s="24" t="s">
        <v>183</v>
      </c>
      <c r="C60" s="29" t="n">
        <f aca="false">B39</f>
        <v>0.0909310123093882</v>
      </c>
    </row>
    <row r="61" customFormat="false" ht="15" hidden="false" customHeight="true" outlineLevel="0" collapsed="false">
      <c r="A61" s="24" t="s">
        <v>73</v>
      </c>
      <c r="B61" s="24" t="s">
        <v>183</v>
      </c>
      <c r="C61" s="29" t="n">
        <f aca="false">C39</f>
        <v>0.0888121663983733</v>
      </c>
    </row>
    <row r="62" customFormat="false" ht="15" hidden="false" customHeight="true" outlineLevel="0" collapsed="false">
      <c r="A62" s="24" t="s">
        <v>74</v>
      </c>
      <c r="B62" s="24" t="s">
        <v>183</v>
      </c>
      <c r="C62" s="29" t="n">
        <f aca="false">D39</f>
        <v>0.0834964192778339</v>
      </c>
    </row>
    <row r="63" customFormat="false" ht="15" hidden="false" customHeight="true" outlineLevel="0" collapsed="false">
      <c r="A63" s="24" t="s">
        <v>75</v>
      </c>
      <c r="B63" s="24" t="s">
        <v>183</v>
      </c>
      <c r="C63" s="29" t="n">
        <f aca="false">E39</f>
        <v>0.0828316220417278</v>
      </c>
    </row>
    <row r="64" customFormat="false" ht="15" hidden="false" customHeight="true" outlineLevel="0" collapsed="false">
      <c r="A64" s="24" t="s">
        <v>163</v>
      </c>
      <c r="B64" s="24" t="s">
        <v>183</v>
      </c>
      <c r="C64" s="29" t="n">
        <f aca="false">F39</f>
        <v>0.082</v>
      </c>
    </row>
    <row r="65" customFormat="false" ht="15" hidden="false" customHeight="true" outlineLevel="0" collapsed="false">
      <c r="A65" s="24" t="s">
        <v>72</v>
      </c>
      <c r="B65" s="24" t="s">
        <v>184</v>
      </c>
      <c r="C65" s="29" t="n">
        <f aca="false">B40</f>
        <v>0.198580745912181</v>
      </c>
    </row>
    <row r="66" customFormat="false" ht="15" hidden="false" customHeight="true" outlineLevel="0" collapsed="false">
      <c r="A66" s="24" t="s">
        <v>73</v>
      </c>
      <c r="B66" s="24" t="s">
        <v>184</v>
      </c>
      <c r="C66" s="29" t="n">
        <f aca="false">C40</f>
        <v>0.178450393967635</v>
      </c>
    </row>
    <row r="67" customFormat="false" ht="15" hidden="false" customHeight="true" outlineLevel="0" collapsed="false">
      <c r="A67" s="24" t="s">
        <v>74</v>
      </c>
      <c r="B67" s="24" t="s">
        <v>184</v>
      </c>
      <c r="C67" s="29" t="n">
        <f aca="false">D40</f>
        <v>0.188702982859846</v>
      </c>
    </row>
    <row r="68" customFormat="false" ht="15" hidden="false" customHeight="true" outlineLevel="0" collapsed="false">
      <c r="A68" s="24" t="s">
        <v>75</v>
      </c>
      <c r="B68" s="24" t="s">
        <v>184</v>
      </c>
      <c r="C68" s="29" t="n">
        <f aca="false">E40</f>
        <v>0.198261707204939</v>
      </c>
    </row>
    <row r="69" customFormat="false" ht="15" hidden="false" customHeight="true" outlineLevel="0" collapsed="false">
      <c r="A69" s="24" t="s">
        <v>163</v>
      </c>
      <c r="B69" s="24" t="s">
        <v>184</v>
      </c>
      <c r="C69" s="29" t="n">
        <f aca="false">F40</f>
        <v>0.209</v>
      </c>
    </row>
    <row r="70" customFormat="false" ht="15" hidden="false" customHeight="true" outlineLevel="0" collapsed="false">
      <c r="A70" s="24" t="s">
        <v>72</v>
      </c>
      <c r="B70" s="24" t="s">
        <v>185</v>
      </c>
      <c r="C70" s="29" t="n">
        <f aca="false">B41</f>
        <v>0.0191760058791108</v>
      </c>
    </row>
    <row r="71" customFormat="false" ht="15" hidden="false" customHeight="true" outlineLevel="0" collapsed="false">
      <c r="A71" s="24" t="s">
        <v>73</v>
      </c>
      <c r="B71" s="24" t="s">
        <v>185</v>
      </c>
      <c r="C71" s="29" t="n">
        <f aca="false">C41</f>
        <v>0.0179615352029145</v>
      </c>
    </row>
    <row r="72" customFormat="false" ht="15" hidden="false" customHeight="true" outlineLevel="0" collapsed="false">
      <c r="A72" s="24" t="s">
        <v>74</v>
      </c>
      <c r="B72" s="24" t="s">
        <v>185</v>
      </c>
      <c r="C72" s="29" t="n">
        <f aca="false">D41</f>
        <v>0.0178068345555818</v>
      </c>
    </row>
    <row r="73" customFormat="false" ht="15" hidden="false" customHeight="true" outlineLevel="0" collapsed="false">
      <c r="A73" s="24" t="s">
        <v>75</v>
      </c>
      <c r="B73" s="24" t="s">
        <v>185</v>
      </c>
      <c r="C73" s="29" t="n">
        <f aca="false">E41</f>
        <v>0.018247695776868</v>
      </c>
    </row>
    <row r="74" customFormat="false" ht="15" hidden="false" customHeight="true" outlineLevel="0" collapsed="false">
      <c r="A74" s="24" t="s">
        <v>163</v>
      </c>
      <c r="B74" s="24" t="s">
        <v>185</v>
      </c>
      <c r="C74" s="29" t="n">
        <f aca="false">F41</f>
        <v>0.018</v>
      </c>
    </row>
    <row r="75" customFormat="false" ht="15" hidden="false" customHeight="true" outlineLevel="0" collapsed="false">
      <c r="A75" s="24" t="s">
        <v>72</v>
      </c>
      <c r="B75" s="24" t="s">
        <v>98</v>
      </c>
      <c r="C75" s="29" t="n">
        <f aca="false">B42</f>
        <v>0.173606007716333</v>
      </c>
    </row>
    <row r="76" customFormat="false" ht="15" hidden="false" customHeight="true" outlineLevel="0" collapsed="false">
      <c r="A76" s="24" t="s">
        <v>73</v>
      </c>
      <c r="B76" s="24" t="s">
        <v>98</v>
      </c>
      <c r="C76" s="29" t="n">
        <f aca="false">C42</f>
        <v>0.170539269677201</v>
      </c>
    </row>
    <row r="77" customFormat="false" ht="15" hidden="false" customHeight="true" outlineLevel="0" collapsed="false">
      <c r="A77" s="24" t="s">
        <v>74</v>
      </c>
      <c r="B77" s="24" t="s">
        <v>98</v>
      </c>
      <c r="C77" s="29" t="n">
        <f aca="false">D42</f>
        <v>0.172616615411084</v>
      </c>
    </row>
    <row r="78" customFormat="false" ht="15" hidden="false" customHeight="true" outlineLevel="0" collapsed="false">
      <c r="A78" s="24" t="s">
        <v>75</v>
      </c>
      <c r="B78" s="24" t="s">
        <v>98</v>
      </c>
      <c r="C78" s="29" t="n">
        <f aca="false">E42</f>
        <v>0.171902708146332</v>
      </c>
    </row>
    <row r="79" customFormat="false" ht="15" hidden="false" customHeight="true" outlineLevel="0" collapsed="false">
      <c r="A79" s="24" t="s">
        <v>163</v>
      </c>
      <c r="B79" s="24" t="s">
        <v>98</v>
      </c>
      <c r="C79" s="29" t="n">
        <f aca="false">F42</f>
        <v>0.166</v>
      </c>
    </row>
    <row r="80" customFormat="false" ht="15" hidden="false" customHeight="true" outlineLevel="0" collapsed="false">
      <c r="A80" s="24" t="s">
        <v>72</v>
      </c>
      <c r="B80" s="24" t="s">
        <v>186</v>
      </c>
      <c r="C80" s="29" t="n">
        <f aca="false">B43</f>
        <v>-0.033988609222855</v>
      </c>
    </row>
    <row r="81" customFormat="false" ht="15" hidden="false" customHeight="true" outlineLevel="0" collapsed="false">
      <c r="A81" s="24" t="s">
        <v>73</v>
      </c>
      <c r="B81" s="24" t="s">
        <v>186</v>
      </c>
      <c r="C81" s="29" t="n">
        <f aca="false">C43</f>
        <v>-0.030797254935186</v>
      </c>
    </row>
    <row r="82" customFormat="false" ht="15" hidden="false" customHeight="true" outlineLevel="0" collapsed="false">
      <c r="A82" s="24" t="s">
        <v>74</v>
      </c>
      <c r="B82" s="24" t="s">
        <v>186</v>
      </c>
      <c r="C82" s="29" t="n">
        <f aca="false">D43</f>
        <v>-0.0164842254672144</v>
      </c>
    </row>
    <row r="83" customFormat="false" ht="15" hidden="false" customHeight="true" outlineLevel="0" collapsed="false">
      <c r="A83" s="24" t="s">
        <v>75</v>
      </c>
      <c r="B83" s="24" t="s">
        <v>186</v>
      </c>
      <c r="C83" s="29" t="n">
        <f aca="false">E43</f>
        <v>-0.0117236245812991</v>
      </c>
    </row>
    <row r="84" customFormat="false" ht="15" hidden="false" customHeight="true" outlineLevel="0" collapsed="false">
      <c r="A84" s="24" t="s">
        <v>163</v>
      </c>
      <c r="B84" s="24" t="s">
        <v>186</v>
      </c>
      <c r="C84" s="29" t="n">
        <f aca="false">F43</f>
        <v>-0.014</v>
      </c>
    </row>
    <row r="85" customFormat="false" ht="15" hidden="false" customHeight="true" outlineLevel="0" collapsed="false">
      <c r="A85" s="24" t="s">
        <v>72</v>
      </c>
      <c r="B85" s="24" t="s">
        <v>99</v>
      </c>
      <c r="C85" s="29" t="n">
        <f aca="false">B44</f>
        <v>0.139617398493478</v>
      </c>
    </row>
    <row r="86" customFormat="false" ht="15" hidden="false" customHeight="true" outlineLevel="0" collapsed="false">
      <c r="A86" s="24" t="s">
        <v>73</v>
      </c>
      <c r="B86" s="24" t="s">
        <v>99</v>
      </c>
      <c r="C86" s="29" t="n">
        <f aca="false">C44</f>
        <v>0.139742014742015</v>
      </c>
    </row>
    <row r="87" customFormat="false" ht="15" hidden="false" customHeight="true" outlineLevel="0" collapsed="false">
      <c r="A87" s="24" t="s">
        <v>74</v>
      </c>
      <c r="B87" s="24" t="s">
        <v>99</v>
      </c>
      <c r="C87" s="29" t="n">
        <f aca="false">D44</f>
        <v>0.15613238994387</v>
      </c>
    </row>
    <row r="88" customFormat="false" ht="15" hidden="false" customHeight="true" outlineLevel="0" collapsed="false">
      <c r="A88" s="24" t="s">
        <v>75</v>
      </c>
      <c r="B88" s="24" t="s">
        <v>99</v>
      </c>
      <c r="C88" s="29" t="n">
        <f aca="false">E44</f>
        <v>0.160179083565033</v>
      </c>
    </row>
    <row r="89" customFormat="false" ht="15" hidden="false" customHeight="true" outlineLevel="0" collapsed="false">
      <c r="A89" s="24" t="s">
        <v>163</v>
      </c>
      <c r="B89" s="24" t="s">
        <v>99</v>
      </c>
      <c r="C89" s="29" t="n">
        <f aca="false">F44</f>
        <v>0.152</v>
      </c>
    </row>
    <row r="90" customFormat="false" ht="15" hidden="false" customHeight="true" outlineLevel="0" collapsed="false">
      <c r="A90" s="24" t="s">
        <v>72</v>
      </c>
      <c r="B90" s="24" t="s">
        <v>187</v>
      </c>
      <c r="C90" s="29" t="n">
        <f aca="false">B45</f>
        <v>-0.00551166636046298</v>
      </c>
    </row>
    <row r="91" customFormat="false" ht="15" hidden="false" customHeight="true" outlineLevel="0" collapsed="false">
      <c r="A91" s="24" t="s">
        <v>73</v>
      </c>
      <c r="B91" s="24" t="s">
        <v>187</v>
      </c>
      <c r="C91" s="29" t="n">
        <f aca="false">C45</f>
        <v>-0.00920316868592731</v>
      </c>
    </row>
    <row r="92" customFormat="false" ht="15" hidden="false" customHeight="true" outlineLevel="0" collapsed="false">
      <c r="A92" s="24" t="s">
        <v>74</v>
      </c>
      <c r="B92" s="24" t="s">
        <v>187</v>
      </c>
      <c r="C92" s="29" t="n">
        <f aca="false">D45</f>
        <v>-0.0049140841738532</v>
      </c>
    </row>
    <row r="93" customFormat="false" ht="15" hidden="false" customHeight="true" outlineLevel="0" collapsed="false">
      <c r="A93" s="24" t="s">
        <v>75</v>
      </c>
      <c r="B93" s="24" t="s">
        <v>187</v>
      </c>
      <c r="C93" s="29" t="n">
        <f aca="false">E45</f>
        <v>0.000996124964424108</v>
      </c>
    </row>
    <row r="94" customFormat="false" ht="15" hidden="false" customHeight="true" outlineLevel="0" collapsed="false">
      <c r="A94" s="24" t="s">
        <v>163</v>
      </c>
      <c r="B94" s="24" t="s">
        <v>187</v>
      </c>
      <c r="C94" s="29" t="n">
        <f aca="false">F45</f>
        <v>-0.002</v>
      </c>
    </row>
    <row r="95" customFormat="false" ht="15" hidden="false" customHeight="true" outlineLevel="0" collapsed="false">
      <c r="A95" s="24" t="s">
        <v>72</v>
      </c>
      <c r="B95" s="24" t="s">
        <v>100</v>
      </c>
      <c r="C95" s="29" t="n">
        <f aca="false">B46</f>
        <v>0.134105732133015</v>
      </c>
    </row>
    <row r="96" customFormat="false" ht="15" hidden="false" customHeight="true" outlineLevel="0" collapsed="false">
      <c r="A96" s="24" t="s">
        <v>73</v>
      </c>
      <c r="B96" s="24" t="s">
        <v>100</v>
      </c>
      <c r="C96" s="29" t="n">
        <f aca="false">C46</f>
        <v>0.130538846056087</v>
      </c>
    </row>
    <row r="97" customFormat="false" ht="15" hidden="false" customHeight="true" outlineLevel="0" collapsed="false">
      <c r="A97" s="24" t="s">
        <v>74</v>
      </c>
      <c r="B97" s="24" t="s">
        <v>100</v>
      </c>
      <c r="C97" s="29" t="n">
        <f aca="false">D46</f>
        <v>0.151218305770017</v>
      </c>
    </row>
    <row r="98" customFormat="false" ht="15" hidden="false" customHeight="true" outlineLevel="0" collapsed="false">
      <c r="A98" s="24" t="s">
        <v>75</v>
      </c>
      <c r="B98" s="24" t="s">
        <v>100</v>
      </c>
      <c r="C98" s="29" t="n">
        <f aca="false">E46</f>
        <v>0.161175208529457</v>
      </c>
    </row>
    <row r="99" customFormat="false" ht="15" hidden="false" customHeight="true" outlineLevel="0" collapsed="false">
      <c r="A99" s="24" t="s">
        <v>163</v>
      </c>
      <c r="B99" s="24" t="s">
        <v>100</v>
      </c>
      <c r="C99" s="29" t="n">
        <f aca="false">F46</f>
        <v>0.15</v>
      </c>
    </row>
    <row r="100" customFormat="false" ht="15" hidden="false" customHeight="true" outlineLevel="0" collapsed="false">
      <c r="A100" s="24" t="s">
        <v>72</v>
      </c>
      <c r="B100" s="24" t="s">
        <v>188</v>
      </c>
      <c r="C100" s="29" t="n">
        <f aca="false">B47</f>
        <v>0.010024343193092</v>
      </c>
    </row>
    <row r="101" customFormat="false" ht="15" hidden="false" customHeight="true" outlineLevel="0" collapsed="false">
      <c r="A101" s="24" t="s">
        <v>73</v>
      </c>
      <c r="B101" s="24" t="s">
        <v>188</v>
      </c>
      <c r="C101" s="29" t="n">
        <f aca="false">C47</f>
        <v>0.0110141489451834</v>
      </c>
    </row>
    <row r="102" customFormat="false" ht="15" hidden="false" customHeight="true" outlineLevel="0" collapsed="false">
      <c r="A102" s="24" t="s">
        <v>74</v>
      </c>
      <c r="B102" s="24" t="s">
        <v>188</v>
      </c>
      <c r="C102" s="29" t="n">
        <f aca="false">D47</f>
        <v>0.0146239704079658</v>
      </c>
    </row>
    <row r="103" customFormat="false" ht="15" hidden="false" customHeight="true" outlineLevel="0" collapsed="false">
      <c r="A103" s="24" t="s">
        <v>75</v>
      </c>
      <c r="B103" s="24" t="s">
        <v>188</v>
      </c>
      <c r="C103" s="29" t="n">
        <f aca="false">E47</f>
        <v>0.0162554458480198</v>
      </c>
    </row>
    <row r="104" customFormat="false" ht="15" hidden="false" customHeight="true" outlineLevel="0" collapsed="false">
      <c r="A104" s="24" t="s">
        <v>163</v>
      </c>
      <c r="B104" s="24" t="s">
        <v>188</v>
      </c>
      <c r="C104" s="29" t="n">
        <f aca="false">F47</f>
        <v>0.0165710855732241</v>
      </c>
    </row>
    <row r="105" customFormat="false" ht="15" hidden="false" customHeight="true" outlineLevel="0" collapsed="false">
      <c r="A105" s="24" t="s">
        <v>72</v>
      </c>
      <c r="B105" s="24" t="s">
        <v>189</v>
      </c>
      <c r="C105" s="29" t="n">
        <f aca="false">B48</f>
        <v>0.209235609846382</v>
      </c>
    </row>
    <row r="106" customFormat="false" ht="15" hidden="false" customHeight="true" outlineLevel="0" collapsed="false">
      <c r="A106" s="24" t="s">
        <v>73</v>
      </c>
      <c r="B106" s="24" t="s">
        <v>189</v>
      </c>
      <c r="C106" s="29" t="n">
        <f aca="false">C48</f>
        <v>0.241892610313663</v>
      </c>
    </row>
    <row r="107" customFormat="false" ht="15" hidden="false" customHeight="true" outlineLevel="0" collapsed="false">
      <c r="A107" s="24" t="s">
        <v>74</v>
      </c>
      <c r="B107" s="24" t="s">
        <v>189</v>
      </c>
      <c r="C107" s="29" t="n">
        <f aca="false">D48</f>
        <v>0.182161694088011</v>
      </c>
    </row>
    <row r="108" customFormat="false" ht="15" hidden="false" customHeight="true" outlineLevel="0" collapsed="false">
      <c r="A108" s="24" t="s">
        <v>75</v>
      </c>
      <c r="B108" s="24" t="s">
        <v>189</v>
      </c>
      <c r="C108" s="29" t="n">
        <f aca="false">E48</f>
        <v>0.250321021225168</v>
      </c>
    </row>
    <row r="109" customFormat="false" ht="15" hidden="false" customHeight="true" outlineLevel="0" collapsed="false">
      <c r="A109" s="24" t="s">
        <v>163</v>
      </c>
      <c r="B109" s="24" t="s">
        <v>189</v>
      </c>
      <c r="C109" s="29" t="n">
        <f aca="false">F48</f>
        <v>0.24</v>
      </c>
    </row>
    <row r="110" customFormat="false" ht="15" hidden="false" customHeight="true" outlineLevel="0" collapsed="false">
      <c r="A110" s="24" t="s">
        <v>72</v>
      </c>
      <c r="B110" s="24" t="s">
        <v>101</v>
      </c>
      <c r="C110" s="29" t="n">
        <f aca="false">B49</f>
        <v>0.194113999632556</v>
      </c>
    </row>
    <row r="111" customFormat="false" ht="15" hidden="false" customHeight="true" outlineLevel="0" collapsed="false">
      <c r="A111" s="24" t="s">
        <v>73</v>
      </c>
      <c r="B111" s="24" t="s">
        <v>101</v>
      </c>
      <c r="C111" s="29" t="n">
        <f aca="false">C49</f>
        <v>0.0981741930017792</v>
      </c>
    </row>
    <row r="112" customFormat="false" ht="15" hidden="false" customHeight="true" outlineLevel="0" collapsed="false">
      <c r="A112" s="24" t="s">
        <v>74</v>
      </c>
      <c r="B112" s="24" t="s">
        <v>101</v>
      </c>
      <c r="C112" s="29" t="n">
        <f aca="false">D49</f>
        <v>0.120529473752124</v>
      </c>
    </row>
    <row r="113" customFormat="false" ht="15" hidden="false" customHeight="true" outlineLevel="0" collapsed="false">
      <c r="A113" s="24" t="s">
        <v>75</v>
      </c>
      <c r="B113" s="24" t="s">
        <v>101</v>
      </c>
      <c r="C113" s="29" t="n">
        <f aca="false">E49</f>
        <v>0.119140924316396</v>
      </c>
    </row>
    <row r="114" customFormat="false" ht="15" hidden="false" customHeight="true" outlineLevel="0" collapsed="false">
      <c r="A114" s="24" t="s">
        <v>163</v>
      </c>
      <c r="B114" s="24" t="s">
        <v>101</v>
      </c>
      <c r="C114" s="29" t="n">
        <f aca="false">F49</f>
        <v>0.112732471700507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6"/>
    <col collapsed="false" customWidth="true" hidden="false" outlineLevel="0" max="2" min="2" style="8" width="14"/>
    <col collapsed="false" customWidth="true" hidden="false" outlineLevel="0" max="3" min="3" style="8" width="100"/>
  </cols>
  <sheetData>
    <row r="1" customFormat="false" ht="15" hidden="false" customHeight="true" outlineLevel="0" collapsed="false">
      <c r="A1" s="34" t="s">
        <v>191</v>
      </c>
      <c r="B1" s="3"/>
      <c r="C1" s="3"/>
    </row>
    <row r="2" customFormat="false" ht="15" hidden="false" customHeight="true" outlineLevel="0" collapsed="false">
      <c r="A2" s="3"/>
      <c r="B2" s="3"/>
      <c r="C2" s="3"/>
    </row>
    <row r="3" customFormat="false" ht="15" hidden="false" customHeight="true" outlineLevel="0" collapsed="false">
      <c r="A3" s="23" t="s">
        <v>192</v>
      </c>
      <c r="B3" s="23" t="s">
        <v>193</v>
      </c>
      <c r="C3" s="23" t="s">
        <v>194</v>
      </c>
    </row>
    <row r="4" customFormat="false" ht="18" hidden="false" customHeight="true" outlineLevel="0" collapsed="false">
      <c r="A4" s="41" t="s">
        <v>195</v>
      </c>
      <c r="B4" s="42"/>
      <c r="C4" s="42"/>
    </row>
    <row r="5" customFormat="false" ht="57.75" hidden="false" customHeight="true" outlineLevel="0" collapsed="false">
      <c r="A5" s="24" t="s">
        <v>196</v>
      </c>
      <c r="B5" s="43" t="n">
        <v>0.03</v>
      </c>
      <c r="C5" s="44" t="s">
        <v>197</v>
      </c>
    </row>
    <row r="6" customFormat="false" ht="57.75" hidden="false" customHeight="true" outlineLevel="0" collapsed="false">
      <c r="A6" s="24" t="s">
        <v>167</v>
      </c>
      <c r="B6" s="43" t="n">
        <v>0</v>
      </c>
      <c r="C6" s="44" t="s">
        <v>198</v>
      </c>
    </row>
    <row r="7" customFormat="false" ht="57.75" hidden="false" customHeight="true" outlineLevel="0" collapsed="false">
      <c r="A7" s="24" t="s">
        <v>168</v>
      </c>
      <c r="B7" s="43" t="n">
        <v>0</v>
      </c>
      <c r="C7" s="44" t="s">
        <v>199</v>
      </c>
    </row>
    <row r="8" customFormat="false" ht="57.75" hidden="false" customHeight="true" outlineLevel="0" collapsed="false">
      <c r="A8" s="24" t="s">
        <v>200</v>
      </c>
      <c r="B8" s="29" t="n">
        <f aca="false">'2. Assumptions_FY2025'!B5+'2. Assumptions_FY2025'!B6+'2. Assumptions_FY2025'!B7</f>
        <v>0.03</v>
      </c>
      <c r="C8" s="44" t="s">
        <v>201</v>
      </c>
    </row>
    <row r="9" customFormat="false" ht="57.75" hidden="false" customHeight="true" outlineLevel="0" collapsed="false">
      <c r="A9" s="24" t="s">
        <v>202</v>
      </c>
      <c r="B9" s="43" t="n">
        <v>0.004</v>
      </c>
      <c r="C9" s="44" t="s">
        <v>203</v>
      </c>
    </row>
    <row r="10" customFormat="false" ht="57.75" hidden="false" customHeight="true" outlineLevel="0" collapsed="false">
      <c r="A10" s="24" t="s">
        <v>182</v>
      </c>
      <c r="B10" s="43" t="n">
        <v>0.529</v>
      </c>
      <c r="C10" s="44" t="s">
        <v>204</v>
      </c>
    </row>
    <row r="11" customFormat="false" ht="57.75" hidden="false" customHeight="true" outlineLevel="0" collapsed="false">
      <c r="A11" s="24" t="s">
        <v>183</v>
      </c>
      <c r="B11" s="43" t="n">
        <v>0.082</v>
      </c>
      <c r="C11" s="44" t="s">
        <v>205</v>
      </c>
    </row>
    <row r="12" customFormat="false" ht="57.75" hidden="false" customHeight="true" outlineLevel="0" collapsed="false">
      <c r="A12" s="24" t="s">
        <v>184</v>
      </c>
      <c r="B12" s="43" t="n">
        <v>0.209</v>
      </c>
      <c r="C12" s="44" t="s">
        <v>206</v>
      </c>
    </row>
    <row r="13" customFormat="false" ht="57.75" hidden="false" customHeight="true" outlineLevel="0" collapsed="false">
      <c r="A13" s="24" t="s">
        <v>185</v>
      </c>
      <c r="B13" s="43" t="n">
        <v>0.018</v>
      </c>
      <c r="C13" s="44" t="s">
        <v>207</v>
      </c>
    </row>
    <row r="14" customFormat="false" ht="57.75" hidden="false" customHeight="true" outlineLevel="0" collapsed="false">
      <c r="A14" s="24" t="s">
        <v>208</v>
      </c>
      <c r="B14" s="29" t="n">
        <f aca="false">1+'2. Assumptions_FY2025'!B9-'2. Assumptions_FY2025'!B10-'2. Assumptions_FY2025'!B11-'2. Assumptions_FY2025'!B12-'2. Assumptions_FY2025'!B13</f>
        <v>0.166</v>
      </c>
      <c r="C14" s="44" t="s">
        <v>209</v>
      </c>
    </row>
    <row r="15" customFormat="false" ht="57.75" hidden="false" customHeight="true" outlineLevel="0" collapsed="false">
      <c r="A15" s="24" t="s">
        <v>186</v>
      </c>
      <c r="B15" s="43" t="n">
        <v>-0.014</v>
      </c>
      <c r="C15" s="44" t="s">
        <v>210</v>
      </c>
    </row>
    <row r="16" customFormat="false" ht="57.75" hidden="false" customHeight="true" outlineLevel="0" collapsed="false">
      <c r="A16" s="24" t="s">
        <v>187</v>
      </c>
      <c r="B16" s="43" t="n">
        <v>-0.002</v>
      </c>
      <c r="C16" s="44" t="s">
        <v>211</v>
      </c>
    </row>
    <row r="17" customFormat="false" ht="57.75" hidden="false" customHeight="true" outlineLevel="0" collapsed="false">
      <c r="A17" s="24" t="s">
        <v>212</v>
      </c>
      <c r="B17" s="43" t="n">
        <v>0</v>
      </c>
      <c r="C17" s="44" t="s">
        <v>213</v>
      </c>
    </row>
    <row r="18" customFormat="false" ht="57.75" hidden="false" customHeight="true" outlineLevel="0" collapsed="false">
      <c r="A18" s="24" t="s">
        <v>214</v>
      </c>
      <c r="B18" s="43" t="n">
        <v>0.05</v>
      </c>
      <c r="C18" s="44" t="s">
        <v>215</v>
      </c>
    </row>
    <row r="19" customFormat="false" ht="57.75" hidden="false" customHeight="true" outlineLevel="0" collapsed="false">
      <c r="A19" s="24" t="s">
        <v>216</v>
      </c>
      <c r="B19" s="43" t="n">
        <v>0.08</v>
      </c>
      <c r="C19" s="44" t="s">
        <v>217</v>
      </c>
    </row>
    <row r="20" customFormat="false" ht="57.75" hidden="false" customHeight="true" outlineLevel="0" collapsed="false">
      <c r="A20" s="24" t="s">
        <v>189</v>
      </c>
      <c r="B20" s="43" t="n">
        <v>0.24</v>
      </c>
      <c r="C20" s="44" t="s">
        <v>218</v>
      </c>
    </row>
    <row r="21" customFormat="false" ht="57.75" hidden="false" customHeight="true" outlineLevel="0" collapsed="false">
      <c r="A21" s="24" t="s">
        <v>219</v>
      </c>
      <c r="B21" s="43" t="n">
        <v>0.026</v>
      </c>
      <c r="C21" s="44" t="s">
        <v>220</v>
      </c>
    </row>
    <row r="22" customFormat="false" ht="57.75" hidden="false" customHeight="true" outlineLevel="0" collapsed="false">
      <c r="A22" s="24" t="s">
        <v>221</v>
      </c>
      <c r="B22" s="45" t="n">
        <v>2554.7</v>
      </c>
      <c r="C22" s="44" t="s">
        <v>222</v>
      </c>
    </row>
    <row r="23" customFormat="false" ht="15" hidden="false" customHeight="true" outlineLevel="0" collapsed="false">
      <c r="A23" s="3"/>
      <c r="B23" s="3"/>
      <c r="C23" s="3"/>
    </row>
    <row r="24" customFormat="false" ht="18" hidden="false" customHeight="true" outlineLevel="0" collapsed="false">
      <c r="A24" s="41" t="s">
        <v>223</v>
      </c>
      <c r="B24" s="42"/>
      <c r="C24" s="42"/>
    </row>
    <row r="25" customFormat="false" ht="57.75" hidden="false" customHeight="true" outlineLevel="0" collapsed="false">
      <c r="A25" s="24" t="s">
        <v>224</v>
      </c>
      <c r="B25" s="43" t="n">
        <v>0.039</v>
      </c>
      <c r="C25" s="44" t="s">
        <v>225</v>
      </c>
    </row>
    <row r="26" customFormat="false" ht="57.75" hidden="false" customHeight="true" outlineLevel="0" collapsed="false">
      <c r="A26" s="24" t="s">
        <v>226</v>
      </c>
      <c r="B26" s="46" t="n">
        <v>580</v>
      </c>
      <c r="C26" s="44" t="s">
        <v>227</v>
      </c>
    </row>
    <row r="27" customFormat="false" ht="57.75" hidden="false" customHeight="true" outlineLevel="0" collapsed="false">
      <c r="A27" s="24" t="s">
        <v>228</v>
      </c>
      <c r="B27" s="46" t="n">
        <v>0</v>
      </c>
      <c r="C27" s="44" t="s">
        <v>229</v>
      </c>
    </row>
    <row r="28" customFormat="false" ht="57.75" hidden="false" customHeight="true" outlineLevel="0" collapsed="false">
      <c r="A28" s="24" t="s">
        <v>230</v>
      </c>
      <c r="B28" s="46" t="n">
        <v>0</v>
      </c>
      <c r="C28" s="44" t="s">
        <v>231</v>
      </c>
    </row>
    <row r="29" customFormat="false" ht="57.75" hidden="false" customHeight="true" outlineLevel="0" collapsed="false">
      <c r="A29" s="24" t="s">
        <v>232</v>
      </c>
      <c r="B29" s="43" t="n">
        <v>0.835</v>
      </c>
      <c r="C29" s="44" t="s">
        <v>233</v>
      </c>
    </row>
    <row r="30" customFormat="false" ht="57.75" hidden="false" customHeight="true" outlineLevel="0" collapsed="false">
      <c r="A30" s="24" t="s">
        <v>234</v>
      </c>
      <c r="B30" s="43" t="n">
        <v>0.763</v>
      </c>
      <c r="C30" s="44" t="s">
        <v>235</v>
      </c>
    </row>
    <row r="31" customFormat="false" ht="57.75" hidden="false" customHeight="true" outlineLevel="0" collapsed="false">
      <c r="A31" s="24" t="s">
        <v>236</v>
      </c>
      <c r="B31" s="43" t="n">
        <v>0.727</v>
      </c>
      <c r="C31" s="44" t="s">
        <v>237</v>
      </c>
    </row>
    <row r="32" customFormat="false" ht="57.75" hidden="false" customHeight="true" outlineLevel="0" collapsed="false">
      <c r="A32" s="24" t="s">
        <v>238</v>
      </c>
      <c r="B32" s="43" t="n">
        <v>0.608</v>
      </c>
      <c r="C32" s="44" t="s">
        <v>239</v>
      </c>
    </row>
    <row r="33" customFormat="false" ht="57.75" hidden="false" customHeight="true" outlineLevel="0" collapsed="false">
      <c r="A33" s="24" t="s">
        <v>240</v>
      </c>
      <c r="B33" s="43" t="n">
        <v>0.062</v>
      </c>
      <c r="C33" s="44" t="s">
        <v>241</v>
      </c>
    </row>
    <row r="34" customFormat="false" ht="57.75" hidden="false" customHeight="true" outlineLevel="0" collapsed="false">
      <c r="A34" s="24" t="s">
        <v>242</v>
      </c>
      <c r="B34" s="43" t="n">
        <v>0.004</v>
      </c>
      <c r="C34" s="44" t="s">
        <v>243</v>
      </c>
    </row>
    <row r="35" customFormat="false" ht="57.75" hidden="false" customHeight="true" outlineLevel="0" collapsed="false">
      <c r="A35" s="24" t="s">
        <v>244</v>
      </c>
      <c r="B35" s="46" t="n">
        <v>0</v>
      </c>
      <c r="C35" s="44" t="s">
        <v>245</v>
      </c>
    </row>
    <row r="36" customFormat="false" ht="57.75" hidden="false" customHeight="true" outlineLevel="0" collapsed="false">
      <c r="A36" s="24" t="s">
        <v>246</v>
      </c>
      <c r="B36" s="43" t="n">
        <v>-0.006</v>
      </c>
      <c r="C36" s="44" t="s">
        <v>247</v>
      </c>
    </row>
    <row r="37" customFormat="false" ht="57.75" hidden="false" customHeight="true" outlineLevel="0" collapsed="false">
      <c r="A37" s="24" t="s">
        <v>248</v>
      </c>
      <c r="B37" s="46" t="n">
        <v>0</v>
      </c>
      <c r="C37" s="44" t="s">
        <v>249</v>
      </c>
    </row>
    <row r="38" customFormat="false" ht="57.75" hidden="false" customHeight="true" outlineLevel="0" collapsed="false">
      <c r="A38" s="24" t="s">
        <v>250</v>
      </c>
      <c r="B38" s="46" t="n">
        <v>0</v>
      </c>
      <c r="C38" s="44" t="s">
        <v>251</v>
      </c>
    </row>
    <row r="39" customFormat="false" ht="57.75" hidden="false" customHeight="true" outlineLevel="0" collapsed="false">
      <c r="A39" s="24" t="s">
        <v>252</v>
      </c>
      <c r="B39" s="43" t="n">
        <v>0.02</v>
      </c>
      <c r="C39" s="44" t="s">
        <v>253</v>
      </c>
    </row>
    <row r="40" customFormat="false" ht="57.75" hidden="false" customHeight="true" outlineLevel="0" collapsed="false">
      <c r="A40" s="24" t="s">
        <v>254</v>
      </c>
      <c r="B40" s="46" t="n">
        <v>-174</v>
      </c>
      <c r="C40" s="44" t="s">
        <v>255</v>
      </c>
    </row>
    <row r="41" customFormat="false" ht="57.75" hidden="false" customHeight="true" outlineLevel="0" collapsed="false">
      <c r="A41" s="24" t="s">
        <v>256</v>
      </c>
      <c r="B41" s="46" t="n">
        <v>0</v>
      </c>
      <c r="C41" s="44" t="s">
        <v>257</v>
      </c>
    </row>
    <row r="42" customFormat="false" ht="57.75" hidden="false" customHeight="true" outlineLevel="0" collapsed="false">
      <c r="A42" s="24" t="s">
        <v>258</v>
      </c>
      <c r="B42" s="46" t="n">
        <v>0</v>
      </c>
      <c r="C42" s="44" t="s">
        <v>259</v>
      </c>
    </row>
    <row r="43" customFormat="false" ht="57.75" hidden="false" customHeight="true" outlineLevel="0" collapsed="false">
      <c r="A43" s="24" t="s">
        <v>260</v>
      </c>
      <c r="B43" s="46" t="n">
        <v>7992</v>
      </c>
      <c r="C43" s="44" t="s">
        <v>261</v>
      </c>
    </row>
    <row r="44" customFormat="false" ht="57.75" hidden="false" customHeight="true" outlineLevel="0" collapsed="false">
      <c r="A44" s="24" t="s">
        <v>262</v>
      </c>
      <c r="B44" s="46" t="n">
        <v>-5055</v>
      </c>
      <c r="C44" s="44" t="s">
        <v>263</v>
      </c>
    </row>
    <row r="45" customFormat="false" ht="57.75" hidden="false" customHeight="true" outlineLevel="0" collapsed="false">
      <c r="A45" s="24" t="s">
        <v>264</v>
      </c>
      <c r="B45" s="46" t="n">
        <v>0</v>
      </c>
      <c r="C45" s="44" t="s">
        <v>265</v>
      </c>
    </row>
    <row r="46" customFormat="false" ht="57.75" hidden="false" customHeight="true" outlineLevel="0" collapsed="false">
      <c r="A46" s="24" t="s">
        <v>266</v>
      </c>
      <c r="B46" s="46" t="n">
        <v>0</v>
      </c>
      <c r="C46" s="44" t="s">
        <v>267</v>
      </c>
    </row>
    <row r="47" customFormat="false" ht="15" hidden="false" customHeight="true" outlineLevel="0" collapsed="false">
      <c r="A47" s="3"/>
      <c r="B47" s="3"/>
      <c r="C47" s="3"/>
    </row>
    <row r="48" customFormat="false" ht="30" hidden="false" customHeight="true" outlineLevel="0" collapsed="false">
      <c r="A48" s="31" t="s">
        <v>268</v>
      </c>
      <c r="B48" s="3"/>
      <c r="C48"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D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3" min="2" style="8" width="14"/>
    <col collapsed="false" customWidth="true" hidden="false" outlineLevel="0" max="4" min="4" style="8" width="16"/>
  </cols>
  <sheetData>
    <row r="1" customFormat="false" ht="15" hidden="false" customHeight="true" outlineLevel="0" collapsed="false">
      <c r="A1" s="34" t="s">
        <v>269</v>
      </c>
      <c r="B1" s="3"/>
      <c r="C1" s="3"/>
      <c r="D1" s="3"/>
    </row>
    <row r="2" customFormat="false" ht="15" hidden="false" customHeight="true" outlineLevel="0" collapsed="false">
      <c r="A2" s="3"/>
      <c r="B2" s="3"/>
      <c r="C2" s="3"/>
      <c r="D2" s="3"/>
    </row>
    <row r="3" customFormat="false" ht="15" hidden="false" customHeight="true" outlineLevel="0" collapsed="false">
      <c r="A3" s="23" t="s">
        <v>181</v>
      </c>
      <c r="B3" s="23" t="s">
        <v>270</v>
      </c>
      <c r="C3" s="23" t="s">
        <v>163</v>
      </c>
      <c r="D3" s="23" t="s">
        <v>271</v>
      </c>
    </row>
    <row r="4" customFormat="false" ht="15.75" hidden="false" customHeight="true" outlineLevel="0" collapsed="false">
      <c r="A4" s="23" t="s">
        <v>272</v>
      </c>
      <c r="B4" s="47"/>
      <c r="C4" s="47"/>
      <c r="D4" s="47"/>
    </row>
    <row r="5" customFormat="false" ht="15" hidden="false" customHeight="true" outlineLevel="0" collapsed="false">
      <c r="A5" s="24" t="s">
        <v>76</v>
      </c>
      <c r="B5" s="48" t="n">
        <f aca="false">'1. Income_Statement'!E4</f>
        <v>91354</v>
      </c>
      <c r="C5" s="48" t="n">
        <f aca="false">B5*(1+'2. Assumptions_FY2025'!B8)</f>
        <v>94094.62</v>
      </c>
      <c r="D5" s="29" t="n">
        <f aca="false">IFERROR(C5/B5-1,"")</f>
        <v>0.03</v>
      </c>
    </row>
    <row r="6" customFormat="false" ht="15" hidden="false" customHeight="true" outlineLevel="0" collapsed="false">
      <c r="A6" s="24" t="s">
        <v>77</v>
      </c>
      <c r="B6" s="48" t="n">
        <f aca="false">'1. Income_Statement'!E5</f>
        <v>366</v>
      </c>
      <c r="C6" s="48" t="n">
        <f aca="false">C5*'2. Assumptions_FY2025'!B9</f>
        <v>376.37848</v>
      </c>
      <c r="D6" s="29" t="n">
        <f aca="false">IFERROR(C6/B6-1,"")</f>
        <v>0.0283565027322403</v>
      </c>
    </row>
    <row r="7" customFormat="false" ht="15" hidden="false" customHeight="true" outlineLevel="0" collapsed="false">
      <c r="A7" s="24" t="s">
        <v>78</v>
      </c>
      <c r="B7" s="48" t="n">
        <f aca="false">'1. Income_Statement'!E6</f>
        <v>-48670</v>
      </c>
      <c r="C7" s="48" t="n">
        <f aca="false">-C5*'2. Assumptions_FY2025'!B10</f>
        <v>-49776.05398</v>
      </c>
      <c r="D7" s="29" t="n">
        <f aca="false">IFERROR(C7/B7-1,"")</f>
        <v>0.0227255800287651</v>
      </c>
    </row>
    <row r="8" customFormat="false" ht="15" hidden="false" customHeight="true" outlineLevel="0" collapsed="false">
      <c r="A8" s="24" t="s">
        <v>79</v>
      </c>
      <c r="B8" s="48" t="n">
        <f aca="false">'1. Income_Statement'!E7</f>
        <v>-7567</v>
      </c>
      <c r="C8" s="48" t="n">
        <f aca="false">-C5*'2. Assumptions_FY2025'!B11</f>
        <v>-7715.75884</v>
      </c>
      <c r="D8" s="29" t="n">
        <f aca="false">IFERROR(C8/B8-1,"")</f>
        <v>0.0196588925597991</v>
      </c>
    </row>
    <row r="9" customFormat="false" ht="15" hidden="false" customHeight="true" outlineLevel="0" collapsed="false">
      <c r="A9" s="24" t="s">
        <v>80</v>
      </c>
      <c r="B9" s="48" t="n">
        <f aca="false">'1. Income_Statement'!E8</f>
        <v>-18112</v>
      </c>
      <c r="C9" s="48" t="n">
        <f aca="false">-C5*'2. Assumptions_FY2025'!B12</f>
        <v>-19665.77558</v>
      </c>
      <c r="D9" s="29" t="n">
        <f aca="false">IFERROR(C9/B9-1,"")</f>
        <v>0.0857870792844522</v>
      </c>
    </row>
    <row r="10" customFormat="false" ht="15" hidden="false" customHeight="true" outlineLevel="0" collapsed="false">
      <c r="A10" s="24" t="s">
        <v>81</v>
      </c>
      <c r="B10" s="48" t="n">
        <f aca="false">'1. Income_Statement'!E9</f>
        <v>-1667</v>
      </c>
      <c r="C10" s="48" t="n">
        <f aca="false">-C5*'2. Assumptions_FY2025'!B13</f>
        <v>-1693.70316</v>
      </c>
      <c r="D10" s="29" t="n">
        <f aca="false">IFERROR(C10/B10-1,"")</f>
        <v>0.0160186922615475</v>
      </c>
    </row>
    <row r="11" customFormat="false" ht="15" hidden="false" customHeight="true" outlineLevel="0" collapsed="false">
      <c r="A11" s="37" t="s">
        <v>273</v>
      </c>
      <c r="B11" s="49" t="n">
        <f aca="false">'1. Income_Statement'!E10</f>
        <v>15704</v>
      </c>
      <c r="C11" s="27" t="n">
        <f aca="false">SUM(C5:C10)</f>
        <v>15619.70692</v>
      </c>
      <c r="D11" s="38" t="n">
        <f aca="false">IFERROR(C11/B11-1,"")</f>
        <v>-0.00536761844116129</v>
      </c>
    </row>
    <row r="12" customFormat="false" ht="15" hidden="false" customHeight="true" outlineLevel="0" collapsed="false">
      <c r="A12" s="24" t="s">
        <v>274</v>
      </c>
      <c r="B12" s="48" t="n">
        <f aca="false">'1. Income_Statement'!E11+'1. Income_Statement'!E12</f>
        <v>-1071</v>
      </c>
      <c r="C12" s="48" t="n">
        <f aca="false">C5*'2. Assumptions_FY2025'!B15</f>
        <v>-1317.32468</v>
      </c>
      <c r="D12" s="29" t="n">
        <f aca="false">IFERROR(C12/B12-1,"")</f>
        <v>0.229995032679738</v>
      </c>
    </row>
    <row r="13" customFormat="false" ht="15" hidden="false" customHeight="true" outlineLevel="0" collapsed="false">
      <c r="A13" s="37" t="s">
        <v>85</v>
      </c>
      <c r="B13" s="49" t="n">
        <f aca="false">'1. Income_Statement'!E13</f>
        <v>14633</v>
      </c>
      <c r="C13" s="27" t="n">
        <f aca="false">C11+C12</f>
        <v>14302.38224</v>
      </c>
      <c r="D13" s="38" t="n">
        <f aca="false">IFERROR(C13/B13-1,"")</f>
        <v>-0.0225939834620377</v>
      </c>
    </row>
    <row r="14" customFormat="false" ht="15" hidden="false" customHeight="true" outlineLevel="0" collapsed="false">
      <c r="A14" s="24" t="s">
        <v>275</v>
      </c>
      <c r="B14" s="48" t="n">
        <f aca="false">'1. Income_Statement'!E14+'1. Income_Statement'!E15</f>
        <v>91</v>
      </c>
      <c r="C14" s="48" t="n">
        <f aca="false">C5*'2. Assumptions_FY2025'!B16</f>
        <v>-188.18924</v>
      </c>
      <c r="D14" s="29" t="n">
        <f aca="false">IFERROR(C14/B14-1,"")</f>
        <v>-3.06801362637363</v>
      </c>
    </row>
    <row r="15" customFormat="false" ht="15" hidden="false" customHeight="true" outlineLevel="0" collapsed="false">
      <c r="A15" s="37" t="s">
        <v>88</v>
      </c>
      <c r="B15" s="49" t="n">
        <f aca="false">'1. Income_Statement'!E16</f>
        <v>14724</v>
      </c>
      <c r="C15" s="27" t="n">
        <f aca="false">C13+C14</f>
        <v>14114.193</v>
      </c>
      <c r="D15" s="38" t="n">
        <f aca="false">IFERROR(C15/B15-1,"")</f>
        <v>-0.0414158516707415</v>
      </c>
    </row>
    <row r="16" customFormat="false" ht="15" hidden="false" customHeight="true" outlineLevel="0" collapsed="false">
      <c r="A16" s="24" t="s">
        <v>89</v>
      </c>
      <c r="B16" s="48" t="n">
        <f aca="false">'1. Income_Statement'!E17</f>
        <v>358</v>
      </c>
      <c r="C16" s="48" t="n">
        <f aca="false">B16*(1+'2. Assumptions_FY2025'!B17)</f>
        <v>358</v>
      </c>
      <c r="D16" s="29" t="n">
        <f aca="false">IFERROR(C16/B16-1,"")</f>
        <v>0</v>
      </c>
    </row>
    <row r="17" customFormat="false" ht="15" hidden="false" customHeight="true" outlineLevel="0" collapsed="false">
      <c r="A17" s="24" t="s">
        <v>90</v>
      </c>
      <c r="B17" s="48" t="n">
        <f aca="false">'1. Income_Statement'!E18</f>
        <v>-1843</v>
      </c>
      <c r="C17" s="48" t="n">
        <f aca="false">('1. Income_Statement'!E19*(1+'2. Assumptions_FY2025'!B18))-C16</f>
        <v>-1917.25</v>
      </c>
      <c r="D17" s="29" t="n">
        <f aca="false">IFERROR(C17/B17-1,"")</f>
        <v>0.0402875746066196</v>
      </c>
    </row>
    <row r="18" customFormat="false" ht="15" hidden="false" customHeight="true" outlineLevel="0" collapsed="false">
      <c r="A18" s="37" t="s">
        <v>91</v>
      </c>
      <c r="B18" s="49" t="n">
        <f aca="false">'1. Income_Statement'!E19</f>
        <v>-1485</v>
      </c>
      <c r="C18" s="27" t="n">
        <f aca="false">C16+C17</f>
        <v>-1559.25</v>
      </c>
      <c r="D18" s="38" t="n">
        <f aca="false">IFERROR(C18/B18-1,"")</f>
        <v>0.05</v>
      </c>
    </row>
    <row r="19" customFormat="false" ht="15" hidden="false" customHeight="true" outlineLevel="0" collapsed="false">
      <c r="A19" s="37" t="s">
        <v>92</v>
      </c>
      <c r="B19" s="49" t="n">
        <f aca="false">'1. Income_Statement'!E20</f>
        <v>13239</v>
      </c>
      <c r="C19" s="27" t="n">
        <f aca="false">C15+C18</f>
        <v>12554.943</v>
      </c>
      <c r="D19" s="38" t="n">
        <f aca="false">IFERROR(C19/B19-1,"")</f>
        <v>-0.0516698391117152</v>
      </c>
    </row>
    <row r="20" customFormat="false" ht="15" hidden="false" customHeight="true" outlineLevel="0" collapsed="false">
      <c r="A20" s="24" t="s">
        <v>93</v>
      </c>
      <c r="B20" s="48" t="n">
        <f aca="false">'1. Income_Statement'!E21</f>
        <v>1249</v>
      </c>
      <c r="C20" s="48" t="n">
        <f aca="false">B20*(1+'2. Assumptions_FY2025'!B19)</f>
        <v>1348.92</v>
      </c>
      <c r="D20" s="29" t="n">
        <f aca="false">IFERROR(C20/B20-1,"")</f>
        <v>0.0800000000000001</v>
      </c>
    </row>
    <row r="21" customFormat="false" ht="15" hidden="false" customHeight="true" outlineLevel="0" collapsed="false">
      <c r="A21" s="24" t="s">
        <v>94</v>
      </c>
      <c r="B21" s="48" t="n">
        <f aca="false">'1. Income_Statement'!E22</f>
        <v>-3314</v>
      </c>
      <c r="C21" s="48" t="n">
        <f aca="false">-C19*'2. Assumptions_FY2025'!B20</f>
        <v>-3013.18632</v>
      </c>
      <c r="D21" s="29" t="n">
        <f aca="false">IFERROR(C21/B21-1,"")</f>
        <v>-0.0907705733252865</v>
      </c>
    </row>
    <row r="22" customFormat="false" ht="15" hidden="false" customHeight="true" outlineLevel="0" collapsed="false">
      <c r="A22" s="37" t="s">
        <v>95</v>
      </c>
      <c r="B22" s="49" t="n">
        <f aca="false">'1. Income_Statement'!E23</f>
        <v>11174</v>
      </c>
      <c r="C22" s="27" t="n">
        <f aca="false">C19+C20+C21</f>
        <v>10890.67668</v>
      </c>
      <c r="D22" s="38" t="n">
        <f aca="false">IFERROR(C22/B22-1,"")</f>
        <v>-0.0253555861822085</v>
      </c>
    </row>
    <row r="23" customFormat="false" ht="15" hidden="false" customHeight="true" outlineLevel="0" collapsed="false">
      <c r="A23" s="24" t="s">
        <v>96</v>
      </c>
      <c r="B23" s="48" t="n">
        <f aca="false">'1. Income_Statement'!E24</f>
        <v>290</v>
      </c>
      <c r="C23" s="48" t="n">
        <f aca="false">C22*'2. Assumptions_FY2025'!B21</f>
        <v>283.15759368</v>
      </c>
      <c r="D23" s="29" t="n">
        <f aca="false">IFERROR(C23/B23-1,"")</f>
        <v>-0.023594504551724</v>
      </c>
    </row>
    <row r="24" customFormat="false" ht="15" hidden="false" customHeight="true" outlineLevel="0" collapsed="false">
      <c r="A24" s="37" t="s">
        <v>97</v>
      </c>
      <c r="B24" s="49" t="n">
        <f aca="false">'1. Income_Statement'!E25</f>
        <v>10884</v>
      </c>
      <c r="C24" s="27" t="n">
        <f aca="false">C22-C23</f>
        <v>10607.51908632</v>
      </c>
      <c r="D24" s="38" t="n">
        <f aca="false">IFERROR(C24/B24-1,"")</f>
        <v>-0.0254025095259094</v>
      </c>
    </row>
    <row r="25" customFormat="false" ht="15" hidden="false" customHeight="true" outlineLevel="0" collapsed="false">
      <c r="A25" s="3"/>
      <c r="B25" s="3"/>
      <c r="C25" s="3"/>
      <c r="D25" s="3"/>
    </row>
    <row r="26" customFormat="false" ht="15" hidden="false" customHeight="true" outlineLevel="0" collapsed="false">
      <c r="A26" s="24" t="s">
        <v>98</v>
      </c>
      <c r="B26" s="36" t="n">
        <f aca="false">IFERROR(B11/B5,"")</f>
        <v>0.171902708146332</v>
      </c>
      <c r="C26" s="29" t="n">
        <f aca="false">IFERROR(C11/C5,"")</f>
        <v>0.166</v>
      </c>
      <c r="D26" s="3"/>
    </row>
    <row r="27" customFormat="false" ht="15" hidden="false" customHeight="true" outlineLevel="0" collapsed="false">
      <c r="A27" s="24" t="s">
        <v>99</v>
      </c>
      <c r="B27" s="36" t="n">
        <f aca="false">IFERROR(B13/B5,"")</f>
        <v>0.160179083565033</v>
      </c>
      <c r="C27" s="29" t="n">
        <f aca="false">IFERROR(C13/C5,"")</f>
        <v>0.152</v>
      </c>
      <c r="D27" s="3"/>
    </row>
    <row r="28" customFormat="false" ht="15" hidden="false" customHeight="true" outlineLevel="0" collapsed="false">
      <c r="A28" s="24" t="s">
        <v>100</v>
      </c>
      <c r="B28" s="36" t="n">
        <f aca="false">IFERROR(B15/B5,"")</f>
        <v>0.161175208529457</v>
      </c>
      <c r="C28" s="29" t="n">
        <f aca="false">IFERROR(C15/C5,"")</f>
        <v>0.15</v>
      </c>
      <c r="D28" s="3"/>
    </row>
    <row r="29" customFormat="false" ht="15" hidden="false" customHeight="true" outlineLevel="0" collapsed="false">
      <c r="A29" s="24" t="s">
        <v>101</v>
      </c>
      <c r="B29" s="36" t="n">
        <f aca="false">IFERROR(B24/B5,"")</f>
        <v>0.119140924316396</v>
      </c>
      <c r="C29" s="29" t="n">
        <f aca="false">IFERROR(C24/C5,"")</f>
        <v>0.112732471700507</v>
      </c>
      <c r="D29" s="3"/>
    </row>
    <row r="30" customFormat="false" ht="15" hidden="false" customHeight="true" outlineLevel="0" collapsed="false">
      <c r="A30" s="24" t="s">
        <v>189</v>
      </c>
      <c r="B30" s="36" t="n">
        <f aca="false">IFERROR(-B21/B19,"")</f>
        <v>0.250321021225168</v>
      </c>
      <c r="C30" s="29" t="n">
        <f aca="false">IFERROR(-C21/C19,"")</f>
        <v>0.24</v>
      </c>
      <c r="D30" s="3"/>
    </row>
    <row r="31" customFormat="false" ht="15" hidden="false" customHeight="true" outlineLevel="0" collapsed="false">
      <c r="A31" s="3"/>
      <c r="B31" s="3"/>
      <c r="C31" s="3"/>
      <c r="D31" s="3"/>
    </row>
    <row r="32" customFormat="false" ht="15" hidden="false" customHeight="true" outlineLevel="0" collapsed="false">
      <c r="A32" s="24" t="s">
        <v>276</v>
      </c>
      <c r="B32" s="50" t="n">
        <f aca="false">'1. Income_Statement'!E33</f>
        <v>4.19</v>
      </c>
      <c r="C32" s="51" t="n">
        <f aca="false">IFERROR(C24/'2. Assumptions_FY2025'!B22,"")</f>
        <v>4.15215840854895</v>
      </c>
      <c r="D32" s="3"/>
    </row>
    <row r="33" customFormat="false" ht="15" hidden="false" customHeight="true" outlineLevel="0" collapsed="false">
      <c r="A33" s="3"/>
      <c r="B33" s="3"/>
      <c r="C33" s="3"/>
      <c r="D33" s="3"/>
    </row>
    <row r="34" customFormat="false" ht="15.75" hidden="false" customHeight="true" outlineLevel="0" collapsed="false">
      <c r="A34" s="23" t="s">
        <v>277</v>
      </c>
      <c r="B34" s="47"/>
      <c r="C34" s="47"/>
      <c r="D34" s="47"/>
    </row>
    <row r="35" customFormat="false" ht="13.5" hidden="false" customHeight="true" outlineLevel="0" collapsed="false">
      <c r="A35" s="52" t="s">
        <v>110</v>
      </c>
      <c r="B35" s="3"/>
      <c r="C35" s="3"/>
      <c r="D35" s="3"/>
    </row>
    <row r="36" customFormat="false" ht="15" hidden="false" customHeight="true" outlineLevel="0" collapsed="false">
      <c r="A36" s="24" t="s">
        <v>278</v>
      </c>
      <c r="B36" s="48" t="n">
        <f aca="false">'1. Cash_Flow_Statement'!E5</f>
        <v>14724</v>
      </c>
      <c r="C36" s="53" t="n">
        <f aca="false">C15</f>
        <v>14114.193</v>
      </c>
      <c r="D36" s="29" t="n">
        <f aca="false">IFERROR(C36/B36-1,"")</f>
        <v>-0.0414158516707415</v>
      </c>
    </row>
    <row r="37" customFormat="false" ht="15" hidden="false" customHeight="true" outlineLevel="0" collapsed="false">
      <c r="A37" s="24" t="s">
        <v>112</v>
      </c>
      <c r="B37" s="48" t="n">
        <f aca="false">'1. Cash_Flow_Statement'!E6</f>
        <v>3582</v>
      </c>
      <c r="C37" s="48" t="n">
        <f aca="false">C5*'2. Assumptions_FY2025'!B25</f>
        <v>3669.69018</v>
      </c>
      <c r="D37" s="29" t="n">
        <f aca="false">IFERROR(C37/B37-1,"")</f>
        <v>0.0244807872696817</v>
      </c>
    </row>
    <row r="38" customFormat="false" ht="15" hidden="false" customHeight="true" outlineLevel="0" collapsed="false">
      <c r="A38" s="24" t="s">
        <v>113</v>
      </c>
      <c r="B38" s="48" t="n">
        <f aca="false">'1. Cash_Flow_Statement'!E7</f>
        <v>580</v>
      </c>
      <c r="C38" s="48" t="n">
        <f aca="false">'2. Assumptions_FY2025'!B26</f>
        <v>580</v>
      </c>
      <c r="D38" s="29" t="n">
        <f aca="false">IFERROR(C38/B38-1,"")</f>
        <v>0</v>
      </c>
    </row>
    <row r="39" customFormat="false" ht="15" hidden="false" customHeight="true" outlineLevel="0" collapsed="false">
      <c r="A39" s="24" t="s">
        <v>279</v>
      </c>
      <c r="B39" s="48" t="n">
        <f aca="false">'1. Cash_Flow_Statement'!E8+'1. Cash_Flow_Statement'!E9</f>
        <v>-167</v>
      </c>
      <c r="C39" s="48" t="n">
        <f aca="false">'2. Assumptions_FY2025'!B27</f>
        <v>0</v>
      </c>
      <c r="D39" s="29" t="n">
        <f aca="false">IFERROR(C39/B39-1,"")</f>
        <v>-1</v>
      </c>
    </row>
    <row r="40" customFormat="false" ht="15" hidden="false" customHeight="true" outlineLevel="0" collapsed="false">
      <c r="A40" s="37" t="s">
        <v>116</v>
      </c>
      <c r="B40" s="49" t="n">
        <f aca="false">'1. Cash_Flow_Statement'!E10</f>
        <v>18719</v>
      </c>
      <c r="C40" s="27" t="n">
        <f aca="false">SUM(C36:C39)</f>
        <v>18363.88318</v>
      </c>
      <c r="D40" s="38" t="n">
        <f aca="false">IFERROR(C40/B40-1,"")</f>
        <v>-0.0189709290026174</v>
      </c>
    </row>
    <row r="41" customFormat="false" ht="15" hidden="false" customHeight="true" outlineLevel="0" collapsed="false">
      <c r="A41" s="24" t="s">
        <v>280</v>
      </c>
      <c r="B41" s="48" t="n">
        <f aca="false">'1. Cash_Flow_Statement'!E11+'1. Cash_Flow_Statement'!E12</f>
        <v>874</v>
      </c>
      <c r="C41" s="48" t="n">
        <f aca="false">'2. Assumptions_FY2025'!B28</f>
        <v>0</v>
      </c>
      <c r="D41" s="29" t="n">
        <f aca="false">IFERROR(C41/B41-1,"")</f>
        <v>-1</v>
      </c>
    </row>
    <row r="42" customFormat="false" ht="15" hidden="false" customHeight="true" outlineLevel="0" collapsed="false">
      <c r="A42" s="37" t="s">
        <v>119</v>
      </c>
      <c r="B42" s="49" t="n">
        <f aca="false">'1. Cash_Flow_Statement'!E13</f>
        <v>19593</v>
      </c>
      <c r="C42" s="27" t="n">
        <f aca="false">C40+C41</f>
        <v>18363.88318</v>
      </c>
      <c r="D42" s="38" t="n">
        <f aca="false">IFERROR(C42/B42-1,"")</f>
        <v>-0.0627324462818352</v>
      </c>
    </row>
    <row r="43" customFormat="false" ht="15" hidden="false" customHeight="true" outlineLevel="0" collapsed="false">
      <c r="A43" s="24" t="s">
        <v>120</v>
      </c>
      <c r="B43" s="48" t="n">
        <f aca="false">'1. Cash_Flow_Statement'!E14</f>
        <v>-1539</v>
      </c>
      <c r="C43" s="48" t="n">
        <f aca="false">C17*'2. Assumptions_FY2025'!B29</f>
        <v>-1600.90375</v>
      </c>
      <c r="D43" s="29" t="n">
        <f aca="false">IFERROR(C43/B43-1,"")</f>
        <v>0.0402233593242365</v>
      </c>
    </row>
    <row r="44" customFormat="false" ht="15" hidden="false" customHeight="true" outlineLevel="0" collapsed="false">
      <c r="A44" s="24" t="s">
        <v>121</v>
      </c>
      <c r="B44" s="48" t="n">
        <f aca="false">'1. Cash_Flow_Statement'!E15</f>
        <v>273</v>
      </c>
      <c r="C44" s="48" t="n">
        <f aca="false">C16*'2. Assumptions_FY2025'!B30</f>
        <v>273.154</v>
      </c>
      <c r="D44" s="29" t="n">
        <f aca="false">IFERROR(C44/B44-1,"")</f>
        <v>0.000564102564102553</v>
      </c>
    </row>
    <row r="45" customFormat="false" ht="15" hidden="false" customHeight="true" outlineLevel="0" collapsed="false">
      <c r="A45" s="24" t="s">
        <v>122</v>
      </c>
      <c r="B45" s="48" t="n">
        <f aca="false">'1. Cash_Flow_Statement'!E16</f>
        <v>-2411</v>
      </c>
      <c r="C45" s="48" t="n">
        <f aca="false">C21*'2. Assumptions_FY2025'!B31</f>
        <v>-2190.58645464</v>
      </c>
      <c r="D45" s="29" t="n">
        <f aca="false">IFERROR(C45/B45-1,"")</f>
        <v>-0.0914199690418912</v>
      </c>
    </row>
    <row r="46" customFormat="false" ht="15" hidden="false" customHeight="true" outlineLevel="0" collapsed="false">
      <c r="A46" s="24" t="s">
        <v>123</v>
      </c>
      <c r="B46" s="48" t="n">
        <f aca="false">'1. Cash_Flow_Statement'!E17</f>
        <v>759</v>
      </c>
      <c r="C46" s="48" t="n">
        <f aca="false">C20*'2. Assumptions_FY2025'!B32</f>
        <v>820.14336</v>
      </c>
      <c r="D46" s="29" t="n">
        <f aca="false">IFERROR(C46/B46-1,"")</f>
        <v>0.0805577865612648</v>
      </c>
    </row>
    <row r="47" customFormat="false" ht="15" hidden="false" customHeight="true" outlineLevel="0" collapsed="false">
      <c r="A47" s="37" t="s">
        <v>124</v>
      </c>
      <c r="B47" s="49" t="n">
        <f aca="false">'1. Cash_Flow_Statement'!E18</f>
        <v>16675</v>
      </c>
      <c r="C47" s="27" t="n">
        <f aca="false">C42+C43+C44+C45+C46</f>
        <v>15665.69033536</v>
      </c>
      <c r="D47" s="38" t="n">
        <f aca="false">IFERROR(C47/B47-1,"")</f>
        <v>-0.0605283157205396</v>
      </c>
    </row>
    <row r="48" customFormat="false" ht="15" hidden="false" customHeight="true" outlineLevel="0" collapsed="false">
      <c r="A48" s="3"/>
      <c r="B48" s="3"/>
      <c r="C48" s="3"/>
      <c r="D48" s="3"/>
    </row>
    <row r="49" customFormat="false" ht="13.5" hidden="false" customHeight="true" outlineLevel="0" collapsed="false">
      <c r="A49" s="52" t="s">
        <v>125</v>
      </c>
      <c r="B49" s="3"/>
      <c r="C49" s="3"/>
      <c r="D49" s="3"/>
    </row>
    <row r="50" customFormat="false" ht="15" hidden="false" customHeight="true" outlineLevel="0" collapsed="false">
      <c r="A50" s="24" t="s">
        <v>126</v>
      </c>
      <c r="B50" s="48" t="n">
        <f aca="false">'1. Cash_Flow_Statement'!E21</f>
        <v>-5638</v>
      </c>
      <c r="C50" s="48" t="n">
        <f aca="false">-C5*'2. Assumptions_FY2025'!B33</f>
        <v>-5833.86644</v>
      </c>
      <c r="D50" s="29" t="n">
        <f aca="false">IFERROR(C50/B50-1,"")</f>
        <v>0.0347404114934373</v>
      </c>
    </row>
    <row r="51" customFormat="false" ht="15" hidden="false" customHeight="true" outlineLevel="0" collapsed="false">
      <c r="A51" s="24" t="s">
        <v>127</v>
      </c>
      <c r="B51" s="48" t="n">
        <f aca="false">'1. Cash_Flow_Statement'!E22</f>
        <v>-325</v>
      </c>
      <c r="C51" s="48" t="n">
        <f aca="false">-C5*'2. Assumptions_FY2025'!B34</f>
        <v>-376.37848</v>
      </c>
      <c r="D51" s="29" t="n">
        <f aca="false">IFERROR(C51/B51-1,"")</f>
        <v>0.158087630769231</v>
      </c>
    </row>
    <row r="52" customFormat="false" ht="15" hidden="false" customHeight="true" outlineLevel="0" collapsed="false">
      <c r="A52" s="24" t="s">
        <v>281</v>
      </c>
      <c r="B52" s="48" t="n">
        <f aca="false">'1. Cash_Flow_Statement'!E23+'1. Cash_Flow_Statement'!E24</f>
        <v>-832</v>
      </c>
      <c r="C52" s="48" t="n">
        <f aca="false">'2. Assumptions_FY2025'!B35</f>
        <v>0</v>
      </c>
      <c r="D52" s="29" t="n">
        <f aca="false">IFERROR(C52/B52-1,"")</f>
        <v>-1</v>
      </c>
    </row>
    <row r="53" customFormat="false" ht="15" hidden="false" customHeight="true" outlineLevel="0" collapsed="false">
      <c r="A53" s="24" t="s">
        <v>130</v>
      </c>
      <c r="B53" s="48" t="n">
        <f aca="false">'1. Cash_Flow_Statement'!E25</f>
        <v>-532</v>
      </c>
      <c r="C53" s="48" t="n">
        <f aca="false">C5*'2. Assumptions_FY2025'!B36</f>
        <v>-564.56772</v>
      </c>
      <c r="D53" s="29" t="n">
        <f aca="false">IFERROR(C53/B53-1,"")</f>
        <v>0.0612175187969926</v>
      </c>
    </row>
    <row r="54" customFormat="false" ht="15" hidden="false" customHeight="true" outlineLevel="0" collapsed="false">
      <c r="A54" s="24" t="s">
        <v>131</v>
      </c>
      <c r="B54" s="48" t="n">
        <f aca="false">'1. Cash_Flow_Statement'!E26</f>
        <v>0</v>
      </c>
      <c r="C54" s="48" t="n">
        <f aca="false">'2. Assumptions_FY2025'!B37</f>
        <v>0</v>
      </c>
      <c r="D54" s="29" t="str">
        <f aca="false">IFERROR(C54/B54-1,"")</f>
        <v/>
      </c>
    </row>
    <row r="55" customFormat="false" ht="15" hidden="false" customHeight="true" outlineLevel="0" collapsed="false">
      <c r="A55" s="24" t="s">
        <v>282</v>
      </c>
      <c r="B55" s="48" t="n">
        <f aca="false">'1. Cash_Flow_Statement'!E27+'1. Cash_Flow_Statement'!E28</f>
        <v>-1297</v>
      </c>
      <c r="C55" s="48" t="n">
        <f aca="false">'2. Assumptions_FY2025'!B38</f>
        <v>0</v>
      </c>
      <c r="D55" s="29" t="n">
        <f aca="false">IFERROR(C55/B55-1,"")</f>
        <v>-1</v>
      </c>
    </row>
    <row r="56" customFormat="false" ht="15" hidden="false" customHeight="true" outlineLevel="0" collapsed="false">
      <c r="A56" s="37" t="s">
        <v>134</v>
      </c>
      <c r="B56" s="49" t="n">
        <f aca="false">'1. Cash_Flow_Statement'!E29</f>
        <v>-8624</v>
      </c>
      <c r="C56" s="27" t="n">
        <f aca="false">SUM(C50:C55)</f>
        <v>-6774.81264</v>
      </c>
      <c r="D56" s="38" t="n">
        <f aca="false">IFERROR(C56/B56-1,"")</f>
        <v>-0.214423395176252</v>
      </c>
    </row>
    <row r="57" customFormat="false" ht="15" hidden="false" customHeight="true" outlineLevel="0" collapsed="false">
      <c r="A57" s="3"/>
      <c r="B57" s="3"/>
      <c r="C57" s="3"/>
      <c r="D57" s="3"/>
    </row>
    <row r="58" customFormat="false" ht="13.5" hidden="false" customHeight="true" outlineLevel="0" collapsed="false">
      <c r="A58" s="52" t="s">
        <v>135</v>
      </c>
      <c r="B58" s="3"/>
      <c r="C58" s="3"/>
      <c r="D58" s="3"/>
    </row>
    <row r="59" customFormat="false" ht="15" hidden="false" customHeight="true" outlineLevel="0" collapsed="false">
      <c r="A59" s="24" t="s">
        <v>136</v>
      </c>
      <c r="B59" s="48" t="n">
        <f aca="false">'1. Cash_Flow_Statement'!E32</f>
        <v>-7816</v>
      </c>
      <c r="C59" s="48" t="n">
        <f aca="false">B59*(1+'2. Assumptions_FY2025'!B39)</f>
        <v>-7972.32</v>
      </c>
      <c r="D59" s="29" t="n">
        <f aca="false">IFERROR(C59/B59-1,"")</f>
        <v>0.02</v>
      </c>
    </row>
    <row r="60" customFormat="false" ht="15" hidden="false" customHeight="true" outlineLevel="0" collapsed="false">
      <c r="A60" s="24" t="s">
        <v>137</v>
      </c>
      <c r="B60" s="48" t="n">
        <f aca="false">'1. Cash_Flow_Statement'!E33</f>
        <v>-174</v>
      </c>
      <c r="C60" s="48" t="n">
        <f aca="false">'2. Assumptions_FY2025'!B40</f>
        <v>-174</v>
      </c>
      <c r="D60" s="29" t="n">
        <f aca="false">IFERROR(C60/B60-1,"")</f>
        <v>0</v>
      </c>
    </row>
    <row r="61" customFormat="false" ht="15" hidden="false" customHeight="true" outlineLevel="0" collapsed="false">
      <c r="A61" s="24" t="s">
        <v>138</v>
      </c>
      <c r="B61" s="48" t="n">
        <f aca="false">'1. Cash_Flow_Statement'!E34</f>
        <v>-27</v>
      </c>
      <c r="C61" s="48" t="n">
        <f aca="false">'2. Assumptions_FY2025'!B41</f>
        <v>0</v>
      </c>
      <c r="D61" s="29" t="n">
        <f aca="false">IFERROR(C61/B61-1,"")</f>
        <v>-1</v>
      </c>
    </row>
    <row r="62" customFormat="false" ht="15" hidden="false" customHeight="true" outlineLevel="0" collapsed="false">
      <c r="A62" s="24" t="s">
        <v>139</v>
      </c>
      <c r="B62" s="48" t="n">
        <f aca="false">'1. Cash_Flow_Statement'!E35</f>
        <v>-4678</v>
      </c>
      <c r="C62" s="48" t="n">
        <f aca="false">'2. Assumptions_FY2025'!B42</f>
        <v>0</v>
      </c>
      <c r="D62" s="29" t="n">
        <f aca="false">IFERROR(C62/B62-1,"")</f>
        <v>-1</v>
      </c>
    </row>
    <row r="63" customFormat="false" ht="15" hidden="false" customHeight="true" outlineLevel="0" collapsed="false">
      <c r="A63" s="24" t="s">
        <v>140</v>
      </c>
      <c r="B63" s="48" t="n">
        <f aca="false">'1. Cash_Flow_Statement'!E36</f>
        <v>7992</v>
      </c>
      <c r="C63" s="48" t="n">
        <f aca="false">'2. Assumptions_FY2025'!B43</f>
        <v>7992</v>
      </c>
      <c r="D63" s="29" t="n">
        <f aca="false">IFERROR(C63/B63-1,"")</f>
        <v>0</v>
      </c>
    </row>
    <row r="64" customFormat="false" ht="15" hidden="false" customHeight="true" outlineLevel="0" collapsed="false">
      <c r="A64" s="24" t="s">
        <v>141</v>
      </c>
      <c r="B64" s="48" t="n">
        <f aca="false">'1. Cash_Flow_Statement'!E37</f>
        <v>-5055</v>
      </c>
      <c r="C64" s="48" t="n">
        <f aca="false">'2. Assumptions_FY2025'!B44</f>
        <v>-5055</v>
      </c>
      <c r="D64" s="29" t="n">
        <f aca="false">IFERROR(C64/B64-1,"")</f>
        <v>0</v>
      </c>
    </row>
    <row r="65" customFormat="false" ht="15" hidden="false" customHeight="true" outlineLevel="0" collapsed="false">
      <c r="A65" s="24" t="s">
        <v>142</v>
      </c>
      <c r="B65" s="48" t="n">
        <f aca="false">'1. Cash_Flow_Statement'!E38</f>
        <v>2396</v>
      </c>
      <c r="C65" s="48" t="n">
        <f aca="false">'2. Assumptions_FY2025'!B45</f>
        <v>0</v>
      </c>
      <c r="D65" s="29" t="n">
        <f aca="false">IFERROR(C65/B65-1,"")</f>
        <v>-1</v>
      </c>
    </row>
    <row r="66" customFormat="false" ht="15" hidden="false" customHeight="true" outlineLevel="0" collapsed="false">
      <c r="A66" s="37" t="s">
        <v>143</v>
      </c>
      <c r="B66" s="49" t="n">
        <f aca="false">'1. Cash_Flow_Statement'!E39</f>
        <v>-7362</v>
      </c>
      <c r="C66" s="27" t="n">
        <f aca="false">SUM(C59:C65)</f>
        <v>-5209.32</v>
      </c>
      <c r="D66" s="38" t="n">
        <f aca="false">IFERROR(C66/B66-1,"")</f>
        <v>-0.29240423797881</v>
      </c>
    </row>
    <row r="67" customFormat="false" ht="15" hidden="false" customHeight="true" outlineLevel="0" collapsed="false">
      <c r="A67" s="3"/>
      <c r="B67" s="3"/>
      <c r="C67" s="3"/>
      <c r="D67" s="3"/>
    </row>
    <row r="68" customFormat="false" ht="13.5" hidden="false" customHeight="true" outlineLevel="0" collapsed="false">
      <c r="A68" s="52" t="s">
        <v>144</v>
      </c>
      <c r="B68" s="3"/>
      <c r="C68" s="3"/>
      <c r="D68" s="3"/>
    </row>
    <row r="69" customFormat="false" ht="15" hidden="false" customHeight="true" outlineLevel="0" collapsed="false">
      <c r="A69" s="24" t="s">
        <v>145</v>
      </c>
      <c r="B69" s="48" t="n">
        <f aca="false">'1. Cash_Flow_Statement'!E42</f>
        <v>53</v>
      </c>
      <c r="C69" s="48" t="n">
        <f aca="false">'2. Assumptions_FY2025'!B46</f>
        <v>0</v>
      </c>
      <c r="D69" s="29" t="n">
        <f aca="false">IFERROR(C69/B69-1,"")</f>
        <v>-1</v>
      </c>
    </row>
    <row r="70" customFormat="false" ht="15" hidden="false" customHeight="true" outlineLevel="0" collapsed="false">
      <c r="A70" s="37" t="s">
        <v>146</v>
      </c>
      <c r="B70" s="49" t="n">
        <f aca="false">'1. Cash_Flow_Statement'!E43</f>
        <v>742</v>
      </c>
      <c r="C70" s="27" t="n">
        <f aca="false">C47+C56+C66+C69</f>
        <v>3681.55769536</v>
      </c>
      <c r="D70" s="38" t="n">
        <f aca="false">IFERROR(C70/B70-1,"")</f>
        <v>3.96166805304582</v>
      </c>
    </row>
    <row r="71" customFormat="false" ht="15" hidden="false" customHeight="true" outlineLevel="0" collapsed="false">
      <c r="A71" s="24" t="s">
        <v>147</v>
      </c>
      <c r="B71" s="48" t="n">
        <f aca="false">'1. Cash_Flow_Statement'!E44</f>
        <v>4816</v>
      </c>
      <c r="C71" s="48" t="n">
        <f aca="false">'1. Cash_Flow_Statement'!E45</f>
        <v>5558</v>
      </c>
      <c r="D71" s="29" t="n">
        <f aca="false">IFERROR(C71/B71-1,"")</f>
        <v>0.154069767441861</v>
      </c>
    </row>
    <row r="72" customFormat="false" ht="15" hidden="false" customHeight="true" outlineLevel="0" collapsed="false">
      <c r="A72" s="37" t="s">
        <v>148</v>
      </c>
      <c r="B72" s="49" t="n">
        <f aca="false">'1. Cash_Flow_Statement'!E45</f>
        <v>5558</v>
      </c>
      <c r="C72" s="27" t="n">
        <f aca="false">C70+C71</f>
        <v>9239.55769536</v>
      </c>
      <c r="D72" s="38" t="n">
        <f aca="false">IFERROR(C72/B72-1,"")</f>
        <v>0.662388934033825</v>
      </c>
    </row>
    <row r="73" customFormat="false" ht="15" hidden="false" customHeight="true" outlineLevel="0" collapsed="false">
      <c r="A73" s="3"/>
      <c r="B73" s="3"/>
      <c r="C73" s="3"/>
      <c r="D73" s="3"/>
    </row>
    <row r="74" customFormat="false" ht="13.5" hidden="false" customHeight="true" outlineLevel="0" collapsed="false">
      <c r="A74" s="52" t="s">
        <v>151</v>
      </c>
      <c r="B74" s="3"/>
      <c r="C74" s="3"/>
      <c r="D74" s="3"/>
    </row>
    <row r="75" customFormat="false" ht="15" hidden="false" customHeight="true" outlineLevel="0" collapsed="false">
      <c r="A75" s="37" t="s">
        <v>153</v>
      </c>
      <c r="B75" s="49" t="n">
        <f aca="false">'1. Cash_Flow_Statement'!E51</f>
        <v>10712</v>
      </c>
      <c r="C75" s="27" t="n">
        <f aca="false">C47+C50+C51</f>
        <v>9455.44541536</v>
      </c>
      <c r="D75" s="38" t="n">
        <f aca="false">IFERROR(C75/B75-1,"")</f>
        <v>-0.117303452636296</v>
      </c>
    </row>
    <row r="76" customFormat="false" ht="15" hidden="false" customHeight="true" outlineLevel="0" collapsed="false">
      <c r="A76" s="24" t="s">
        <v>283</v>
      </c>
      <c r="B76" s="36" t="n">
        <f aca="false">IFERROR(B75/B5,"")</f>
        <v>0.117258138669352</v>
      </c>
      <c r="C76" s="29" t="n">
        <f aca="false">IFERROR(C75/C5,"")</f>
        <v>0.100488693353138</v>
      </c>
      <c r="D76" s="3"/>
    </row>
    <row r="77" customFormat="false" ht="15" hidden="false" customHeight="true" outlineLevel="0" collapsed="false">
      <c r="A77" s="3"/>
      <c r="B77" s="3"/>
      <c r="C77" s="3"/>
      <c r="D77" s="3"/>
    </row>
    <row r="78" customFormat="false" ht="30" hidden="false" customHeight="true" outlineLevel="0" collapsed="false">
      <c r="A78" s="31" t="s">
        <v>284</v>
      </c>
      <c r="B78" s="3"/>
      <c r="C78" s="3"/>
      <c r="D78" s="3"/>
    </row>
    <row r="79" customFormat="false" ht="30" hidden="false" customHeight="true" outlineLevel="0" collapsed="false">
      <c r="A79" s="31" t="s">
        <v>285</v>
      </c>
      <c r="B79" s="3"/>
      <c r="C79" s="3"/>
      <c r="D79" s="3"/>
    </row>
    <row r="80" customFormat="false" ht="30" hidden="false" customHeight="true" outlineLevel="0" collapsed="false">
      <c r="A80" s="31" t="s">
        <v>286</v>
      </c>
      <c r="B80" s="3"/>
      <c r="C80" s="3"/>
      <c r="D80" s="3"/>
    </row>
    <row r="81" customFormat="false" ht="45" hidden="false" customHeight="true" outlineLevel="0" collapsed="false">
      <c r="A81" s="31" t="s">
        <v>287</v>
      </c>
      <c r="B81" s="3"/>
      <c r="C81" s="3"/>
      <c r="D81" s="3"/>
    </row>
    <row r="82" customFormat="false" ht="42.75" hidden="false" customHeight="true" outlineLevel="0" collapsed="false">
      <c r="A82" s="31" t="s">
        <v>288</v>
      </c>
      <c r="B82" s="3"/>
      <c r="C82" s="3"/>
      <c r="D8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2026-09-27T06:25:55Z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