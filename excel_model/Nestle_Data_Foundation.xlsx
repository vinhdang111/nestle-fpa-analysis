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Segment_Data" sheetId="2" state="visible" r:id="rId4"/>
    <sheet name="Category_Data" sheetId="3" state="visible" r:id="rId5"/>
    <sheet name="H1_2024_Phasing" sheetId="4" state="visible" r:id="rId6"/>
    <sheet name="Group_PL_CF" sheetId="5" state="visible" r:id="rId7"/>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Estimated: back-calculated from Nestlé's disclosed +19.2% YoY change to FY2022's CHF 1.0bn (FY2021 full Financial Statements report the precise figure; condensed press release only gives % change). Source: Nestlé FY2022 full-year results press release.</t>
        </r>
      </text>
    </comment>
    <comment ref="B9" authorId="0">
      <text>
        <r>
          <rPr>
            <sz val="10"/>
            <rFont val="Arial"/>
            <family val="2"/>
          </rPr>
          <t xml:space="preserve">Estimated: back-calculated from Nestlé's disclosed +330bps YoY change to FY2022's 24.2% (FY2021 full Financial Statements report the precise figure). Source: Nestlé FY2022 full-year results press release.</t>
        </r>
      </text>
    </comment>
    <comment ref="B11" authorId="0">
      <text>
        <r>
          <rPr>
            <sz val="10"/>
            <rFont val="Arial"/>
            <family val="2"/>
          </rPr>
          <t xml:space="preserve">Source: Nestlé FY2021 full-year results press release (17 Feb 2022) — 'Net profit grew by 38.2% to CHF 16.9 billion'.</t>
        </r>
      </text>
    </comment>
    <comment ref="B13" authorId="0">
      <text>
        <r>
          <rPr>
            <sz val="10"/>
            <rFont val="Arial"/>
            <family val="2"/>
          </rPr>
          <t xml:space="preserve">Source: Nestlé FY2021 full-year results press release — 'Earnings per share increased ... to CHF 6.06'.</t>
        </r>
      </text>
    </comment>
    <comment ref="B15" authorId="0">
      <text>
        <r>
          <rPr>
            <sz val="10"/>
            <rFont val="Arial"/>
            <family val="2"/>
          </rPr>
          <t xml:space="preserve">Source: Nestlé FY2021 full-year results press release — 'Cash generated from operations decreased from CHF 17.2 billion to CHF 16.6 billion'.</t>
        </r>
      </text>
    </comment>
    <comment ref="B16" authorId="0">
      <text>
        <r>
          <rPr>
            <sz val="10"/>
            <rFont val="Arial"/>
            <family val="2"/>
          </rPr>
          <t xml:space="preserve">Source: Nestlé FY2021 full-year results press release — 'Free cash flow decreased ... to CHF 8.7 billion'.</t>
        </r>
      </text>
    </comment>
    <comment ref="B20" authorId="0">
      <text>
        <r>
          <rPr>
            <sz val="10"/>
            <rFont val="Arial"/>
            <family val="2"/>
          </rPr>
          <t xml:space="preserve">Source: Nestlé FY2022 full-year results press release — 'Net debt was CHF 48.2 billion ... compared to CHF 32.9 billion at December 31, 2021'.</t>
        </r>
      </text>
    </comment>
    <comment ref="C7" authorId="0">
      <text>
        <r>
          <rPr>
            <sz val="10"/>
            <rFont val="Arial"/>
            <family val="2"/>
          </rPr>
          <t xml:space="preserve">Source: Nestlé FY2022 full-year results press release (16 Feb 2023) — 'Net financial expenses increased by 19.2% to CHF 1.0 billion'.</t>
        </r>
      </text>
    </comment>
    <comment ref="C9" authorId="0">
      <text>
        <r>
          <rPr>
            <sz val="10"/>
            <rFont val="Arial"/>
            <family val="2"/>
          </rPr>
          <t xml:space="preserve">Source: Nestlé FY2022 full-year results press release — 'Group reported tax rate increased by 330 basis points to 24.2%'.</t>
        </r>
      </text>
    </comment>
    <comment ref="C11" authorId="0">
      <text>
        <r>
          <rPr>
            <sz val="10"/>
            <rFont val="Arial"/>
            <family val="2"/>
          </rPr>
          <t xml:space="preserve">Source: Nestlé FY2022 full-year results press release (16 Feb 2023) — 'Net profit decreased by 45.2% to CHF 9.3 billion'.</t>
        </r>
      </text>
    </comment>
    <comment ref="C13" authorId="0">
      <text>
        <r>
          <rPr>
            <sz val="10"/>
            <rFont val="Arial"/>
            <family val="2"/>
          </rPr>
          <t xml:space="preserve">Source: Nestlé FY2022 full-year results press release — 'earnings per share decreased ... to CHF 3.42'.</t>
        </r>
      </text>
    </comment>
    <comment ref="C16" authorId="0">
      <text>
        <r>
          <rPr>
            <sz val="10"/>
            <rFont val="Arial"/>
            <family val="2"/>
          </rPr>
          <t xml:space="preserve">Source: Nestlé FY2022 full-year results press release — 'Free cash flow decreased from CHF 8.7 billion to CHF 6.6 billion'.</t>
        </r>
      </text>
    </comment>
    <comment ref="C20" authorId="0">
      <text>
        <r>
          <rPr>
            <sz val="10"/>
            <rFont val="Arial"/>
            <family val="2"/>
          </rPr>
          <t xml:space="preserve">Source: Nestlé FY2022 full-year results press release — 'Net debt was CHF 48.2 billion as at December 31, 2022'.</t>
        </r>
      </text>
    </comment>
    <comment ref="D7" authorId="0">
      <text>
        <r>
          <rPr>
            <sz val="10"/>
            <rFont val="Arial"/>
            <family val="2"/>
          </rPr>
          <t xml:space="preserve">Source: Nestlé FY2024 full-year results press release (13 Feb 2025) — prior-year comparative, 'CHF 1.5 billion from CHF 1.4 billion'.</t>
        </r>
      </text>
    </comment>
    <comment ref="D9" authorId="0">
      <text>
        <r>
          <rPr>
            <sz val="10"/>
            <rFont val="Arial"/>
            <family val="2"/>
          </rPr>
          <t xml:space="preserve">Source: Nestlé FY2024 full-year results press release — prior-year comparative, 'compared to 18.2% in the prior year'.</t>
        </r>
      </text>
    </comment>
    <comment ref="D11" authorId="0">
      <text>
        <r>
          <rPr>
            <sz val="10"/>
            <rFont val="Arial"/>
            <family val="2"/>
          </rPr>
          <t xml:space="preserve">Source: Nestlé FY2024 full-year results press release (13 Feb 2025), FY2023 comparative column — CHF 11,209 million.</t>
        </r>
      </text>
    </comment>
    <comment ref="D13" authorId="0">
      <text>
        <r>
          <rPr>
            <sz val="10"/>
            <rFont val="Arial"/>
            <family val="2"/>
          </rPr>
          <t xml:space="preserve">Source: Nestlé FY2024 full-year results press release, FY2023 comparative column — CHF 4.24.</t>
        </r>
      </text>
    </comment>
    <comment ref="D15" authorId="0">
      <text>
        <r>
          <rPr>
            <sz val="10"/>
            <rFont val="Arial"/>
            <family val="2"/>
          </rPr>
          <t xml:space="preserve">Source: Nestlé FY2024 full-year results press release, FY2023 comparative — 'CHF 19.6 billion from CHF 19.2 billion in 2023'.</t>
        </r>
      </text>
    </comment>
    <comment ref="D16" authorId="0">
      <text>
        <r>
          <rPr>
            <sz val="10"/>
            <rFont val="Arial"/>
            <family val="2"/>
          </rPr>
          <t xml:space="preserve">Source: Nestlé FY2024 full-year results press release, FY2023 comparative — CHF 10,403 million (includes CHF 0.6bn one-off Prometheus Biosciences stake disposal proceeds).</t>
        </r>
      </text>
    </comment>
    <comment ref="D20" authorId="0">
      <text>
        <r>
          <rPr>
            <sz val="10"/>
            <rFont val="Arial"/>
            <family val="2"/>
          </rPr>
          <t xml:space="preserve">Source: Nestlé FY2024 full-year results press release, FY2023 comparative — CHF 49.6 billion.</t>
        </r>
      </text>
    </comment>
    <comment ref="E7" authorId="0">
      <text>
        <r>
          <rPr>
            <sz val="10"/>
            <rFont val="Arial"/>
            <family val="2"/>
          </rPr>
          <t xml:space="preserve">Source: Nestlé FY2024 full-year results press release (13 Feb 2025) — 'Net financial expenses increased to CHF 1.5 billion'.</t>
        </r>
      </text>
    </comment>
    <comment ref="E9" authorId="0">
      <text>
        <r>
          <rPr>
            <sz val="10"/>
            <rFont val="Arial"/>
            <family val="2"/>
          </rPr>
          <t xml:space="preserve">Source: Nestlé FY2024 full-year results press release — 'Group reported tax rate was 25.0%'.</t>
        </r>
      </text>
    </comment>
    <comment ref="E11" authorId="0">
      <text>
        <r>
          <rPr>
            <sz val="10"/>
            <rFont val="Arial"/>
            <family val="2"/>
          </rPr>
          <t xml:space="preserve">Source: Nestlé FY2024 full-year results press release (13 Feb 2025) — Net profit CHF 10,884 million.</t>
        </r>
      </text>
    </comment>
    <comment ref="E13" authorId="0">
      <text>
        <r>
          <rPr>
            <sz val="10"/>
            <rFont val="Arial"/>
            <family val="2"/>
          </rPr>
          <t xml:space="preserve">Source: Nestlé FY2024 full-year results press release — Basic EPS CHF 4.19.</t>
        </r>
      </text>
    </comment>
    <comment ref="E15" authorId="0">
      <text>
        <r>
          <rPr>
            <sz val="10"/>
            <rFont val="Arial"/>
            <family val="2"/>
          </rPr>
          <t xml:space="preserve">Source: Nestlé FY2024 full-year results press release — 'Cash generated from operations increased to CHF 19.6 billion'.</t>
        </r>
      </text>
    </comment>
    <comment ref="E16" authorId="0">
      <text>
        <r>
          <rPr>
            <sz val="10"/>
            <rFont val="Arial"/>
            <family val="2"/>
          </rPr>
          <t xml:space="preserve">Source: Nestlé FY2024 full-year results press release — Free cash flow CHF 10,666 million.</t>
        </r>
      </text>
    </comment>
    <comment ref="E20" authorId="0">
      <text>
        <r>
          <rPr>
            <sz val="10"/>
            <rFont val="Arial"/>
            <family val="2"/>
          </rPr>
          <t xml:space="preserve">Source: Nestlé FY2024 full-year results press release — 'Net debt was CHF 56.0 billion as at December 31, 2024'.</t>
        </r>
      </text>
    </comment>
  </commentList>
</comments>
</file>

<file path=xl/sharedStrings.xml><?xml version="1.0" encoding="utf-8"?>
<sst xmlns="http://schemas.openxmlformats.org/spreadsheetml/2006/main" count="143" uniqueCount="106">
  <si>
    <t xml:space="preserve">Nestlé FP&amp;A Case Study — Data Foundation</t>
  </si>
  <si>
    <t xml:space="preserve">Purpose</t>
  </si>
  <si>
    <t xml:space="preserve">This workbook is Step 1 (Data Foundation) of an end-to-end FP&amp;A portfolio project. It compiles Nestlé's real, publicly disclosed segment and product-category financials (FY2021–FY2024, plus H1-2024 phasing) into a clean structure that Steps 2–6 (Budget Model, Actuals, Variance Analysis, Dashboard, Business Case) will build on.</t>
  </si>
  <si>
    <t xml:space="preserve">Sheets in this workbook</t>
  </si>
  <si>
    <t xml:space="preserve">• Segment_Data — Sales &amp; Underlying Trading Operating Profit (UTOP) by reporting segment (5 geographic Zones + Nespresso + Nestlé Health Science + Other Businesses), FY2021–FY2024, with the organic growth bridge (RIG / Pricing / Net M&amp;A / FX) for FY2022 and FY2024.</t>
  </si>
  <si>
    <t xml:space="preserve">• Category_Data — Sales &amp; UTOP by product category (7 categories: Powdered &amp; liquid beverages, Water, Milk products &amp; ice cream, Nutrition &amp; Health Science, Prepared dishes &amp; cooking aids, Confectionery, PetCare), FY2021–FY2024.</t>
  </si>
  <si>
    <t xml:space="preserve">• H1_2024_Phasing — Half-year split of segment sales &amp; UTOP for 2023 and 2024 (H1 actual, H2 derived as FY minus H1) — the base for building monthly/quarterly phasing in the Budget Model step.</t>
  </si>
  <si>
    <t xml:space="preserve">• Group_PL_CF — Simplified Group-level Income Statement (Sales → UTOP → simplified PBT → Net Profit) and Free Cash Flow bridge, FY2021–FY2024. Added to support a simplified 'P&amp;L + FCF' Budget Model (no detailed Balance Sheet), since Balance Sheet and Cash Flow are only disclosed by Nestlé at Group level, not by segment.</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</si>
  <si>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</si>
  <si>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</si>
  <si>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</si>
  <si>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Half-Year Results 2024 press release (25 Jul 2024) — H1-2024 vs H1-2023 segment &amp; category data — https://www.nestle.com/media/pressreleases/allpressreleases/half-year-results-2024</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</si>
  <si>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</si>
  <si>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</si>
  <si>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</si>
  <si>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FY2021 and FY2022 RIG/Pricing/Organic growth/Net M&amp;A/FX figures exclude Russia, per Nestlé's own disclosure footnote for those years.</t>
  </si>
  <si>
    <t xml:space="preserve">• "Underlying Trading Operating Profit" (UTOP) is Nestlé's key segment profitability metric — broadly comparable to a segment EBIT before restructuring and one-off items.</t>
  </si>
  <si>
    <t xml:space="preserve">• All monetary figures are in CHF million unless stated otherwise. Blue cells = hardcoded inputs sourced from the press releases above. Black cells = formulas (margins, YoY growth, H2 derivation).</t>
  </si>
  <si>
    <t xml:space="preserve">• Group_PL_CF sheet: FY2021 Net Financial Expenses and Tax Rate are back-calculated from a disclosed YoY % change (flagged in cell comments) since the condensed press release doesn't state the exact FY2021 figure. FY2022's Operating Cash Flow is left blank (n/a) because Nestlé disclosed it on a different basis that year ('before working capital changes') and isn't directly comparable — see sheet footnotes.</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</si>
  <si>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</si>
  <si>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</si>
  <si>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</si>
  <si>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</si>
  <si>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</si>
  <si>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</si>
  <si>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</si>
  <si>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</si>
  <si>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</si>
  <si>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</si>
  <si>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</si>
  <si>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</si>
  <si>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</si>
  <si>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</si>
  <si>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</si>
  <si>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</si>
  <si>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</si>
  <si>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</si>
  <si>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</si>
  <si>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</si>
  <si>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</si>
  <si>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</si>
  <si>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</si>
  <si>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</si>
  <si>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</si>
  <si>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</si>
  <si>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</si>
  <si>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</si>
  <si>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</si>
  <si>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</si>
  <si>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</si>
  <si>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</si>
  <si>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</si>
  <si>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</si>
  <si>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</si>
  <si>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</si>
  <si>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</si>
  <si>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</si>
  <si>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</si>
  <si>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</si>
  <si>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</si>
  <si>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</si>
  <si>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</si>
  <si>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</si>
  <si>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</si>
  <si>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</si>
  <si>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</si>
  <si>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</si>
  <si>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</si>
  <si>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 H1/H2 Phasing by Segment, 2023 vs 2024 (CHF m)</t>
  </si>
  <si>
    <t xml:space="preserve">H2 = Full Year minus H1 (formula). Use this split as the seasonality baseline when building monthly/quarterly phasing in the Budget Model.</t>
  </si>
  <si>
    <t xml:space="preserve">H1-2023 Sales</t>
  </si>
  <si>
    <t xml:space="preserve">H2-2023 Sales (derived)</t>
  </si>
  <si>
    <t xml:space="preserve">H1-2024 Sales</t>
  </si>
  <si>
    <t xml:space="preserve">H2-2024 Sales (derived)</t>
  </si>
  <si>
    <t xml:space="preserve">H1-2023 UTOP</t>
  </si>
  <si>
    <t xml:space="preserve">H2-2023 UTOP (derived)</t>
  </si>
  <si>
    <t xml:space="preserve">H1-2024 UTOP</t>
  </si>
  <si>
    <t xml:space="preserve">H2-2024 UTOP (derived)</t>
  </si>
  <si>
    <t xml:space="preserve">H2-2024 vs H2-2023 Sales Growth</t>
  </si>
  <si>
    <t xml:space="preserve">Source: Nestlé Half-Year Results 2024 press release (H1 actuals); FY figures linked from Segment_Data sheet (green = cross-sheet link). Total Group UTOP row uses reported Group figures directly (see Segment_Data note on unallocated central costs).</t>
  </si>
  <si>
    <t xml:space="preserve">Nestlé — Simplified Group Income Statement &amp; Free Cash Flow, FY2021–FY2024 (CHF m unless % or per-share)</t>
  </si>
  <si>
    <t xml:space="preserve">Metric</t>
  </si>
  <si>
    <t xml:space="preserve">FY2021</t>
  </si>
  <si>
    <t xml:space="preserve">FY2022</t>
  </si>
  <si>
    <t xml:space="preserve">FY2023</t>
  </si>
  <si>
    <t xml:space="preserve">FY2024</t>
  </si>
  <si>
    <t xml:space="preserve">Sales</t>
  </si>
  <si>
    <t xml:space="preserve">Underlying Trading Operating Profit (UTOP)</t>
  </si>
  <si>
    <t xml:space="preserve">UTOP Margin</t>
  </si>
  <si>
    <t xml:space="preserve">Net Financial Expenses</t>
  </si>
  <si>
    <t xml:space="preserve">Profit Before Tax (UTOP − Net Financial Expenses)*</t>
  </si>
  <si>
    <t xml:space="preserve">Group Reported Tax Rate</t>
  </si>
  <si>
    <t xml:space="preserve">Implied Tax Expense (PBT × Tax Rate)</t>
  </si>
  <si>
    <t xml:space="preserve">Net Profit (as reported)</t>
  </si>
  <si>
    <t xml:space="preserve">Net Profit Margin</t>
  </si>
  <si>
    <t xml:space="preserve">Basic EPS (CHF)</t>
  </si>
  <si>
    <t xml:space="preserve">Cash Generated from Operations</t>
  </si>
  <si>
    <t xml:space="preserve">n/a*</t>
  </si>
  <si>
    <t xml:space="preserve">Free Cash Flow (as reported)</t>
  </si>
  <si>
    <t xml:space="preserve">FCF Margin (FCF / Sales)</t>
  </si>
  <si>
    <t xml:space="preserve">Implied CapEx + Other Investing Items (OCF − FCF)**</t>
  </si>
  <si>
    <t xml:space="preserve">Net Debt (year-end)</t>
  </si>
  <si>
    <t xml:space="preserve">* Profit Before Tax here is a simplified bridge (UTOP − Net Financial Expenses only) and excludes restructuring/other trading and non-trading items that sit between UTOP and Nestlé's reported Trading/Operating Profit. This sheet intentionally keeps the P&amp;L simplified (per project scope: Income Statement + Free Cash Flow, no detailed Balance Sheet) — it will not tie exactly to Nestlé's full consolidated income statement.</t>
  </si>
  <si>
    <t xml:space="preserve">** FY2022's 'Cash generated from operations' was disclosed on a different basis ('before changes in working capital') and is not comparable to the FY2021/2023/2024 figures, so it is left blank (n/a) rather than mixing bases silently.</t>
  </si>
  <si>
    <t xml:space="preserve">FY2021 Net Financial Expenses and Tax Rate are back-calculated from a disclosed year-on-year % change (exact figures sit in Nestlé's full Financial Statements 2021 PDF, not the condensed press release) — flagged in cell comments.</t>
  </si>
  <si>
    <t xml:space="preserve">All other blue cells are exact figures as reported in Nestlé's official full-year results press releases (see cell comments for exact source/quote).</t>
  </si>
</sst>
</file>

<file path=xl/styles.xml><?xml version="1.0" encoding="utf-8"?>
<styleSheet xmlns="http://schemas.openxmlformats.org/spreadsheetml/2006/main">
  <numFmts count="4">
    <numFmt numFmtId="164" formatCode="General"/>
    <numFmt numFmtId="165" formatCode="#,##0;\(#,##0\);\-"/>
    <numFmt numFmtId="166" formatCode="0.0%;\(0.0%\);\-"/>
    <numFmt numFmtId="167" formatCode="0.00;\(0.00\);\-"/>
  </numFmts>
  <fonts count="25">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1"/>
      <color rgb="FF1F4B44"/>
      <name val="Arial"/>
      <family val="2"/>
      <charset val="1"/>
    </font>
    <font>
      <b val="true"/>
      <sz val="11"/>
      <name val="Arial"/>
      <family val="2"/>
      <charset val="1"/>
    </font>
    <font>
      <sz val="11"/>
      <color rgb="FF000000"/>
      <name val="Arial"/>
      <family val="2"/>
      <charset val="1"/>
    </font>
    <font>
      <i val="true"/>
      <sz val="11"/>
      <color rgb="FF666666"/>
      <name val="Arial"/>
      <family val="2"/>
      <charset val="1"/>
    </font>
    <font>
      <b val="true"/>
      <sz val="14"/>
      <color rgb="FF1F4B44"/>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b val="true"/>
      <sz val="10"/>
      <color rgb="FF0000FF"/>
      <name val="Arial"/>
      <family val="0"/>
      <charset val="1"/>
    </font>
    <font>
      <i val="true"/>
      <sz val="8"/>
      <color rgb="FF666666"/>
      <name val="Arial"/>
      <family val="0"/>
      <charset val="1"/>
    </font>
    <font>
      <sz val="10"/>
      <color rgb="FF008000"/>
      <name val="Arial"/>
      <family val="0"/>
      <charset val="1"/>
    </font>
    <font>
      <b val="true"/>
      <sz val="10"/>
      <color rgb="FF008000"/>
      <name val="Arial"/>
      <family val="0"/>
      <charset val="1"/>
    </font>
    <font>
      <b val="true"/>
      <sz val="11"/>
      <name val="Cambria"/>
      <family val="0"/>
      <charset val="1"/>
    </font>
    <font>
      <b val="true"/>
      <sz val="11"/>
      <color rgb="FFFFFFFF"/>
      <name val="Cambria"/>
      <family val="0"/>
      <charset val="1"/>
    </font>
    <font>
      <sz val="11"/>
      <color rgb="FF008000"/>
      <name val="Cambria"/>
      <family val="0"/>
      <charset val="1"/>
    </font>
    <font>
      <sz val="11"/>
      <color rgb="FF000000"/>
      <name val="Cambria"/>
      <family val="0"/>
      <charset val="1"/>
    </font>
    <font>
      <sz val="11"/>
      <color rgb="FF0000FF"/>
      <name val="Cambria"/>
      <family val="0"/>
      <charset val="1"/>
    </font>
    <font>
      <i val="true"/>
      <sz val="9"/>
      <color rgb="FF6B675C"/>
      <name val="Cambria"/>
      <family val="0"/>
      <charset val="1"/>
    </font>
    <font>
      <sz val="10"/>
      <name val="Arial"/>
      <family val="2"/>
    </font>
  </fonts>
  <fills count="4">
    <fill>
      <patternFill patternType="none"/>
    </fill>
    <fill>
      <patternFill patternType="gray125"/>
    </fill>
    <fill>
      <patternFill patternType="solid">
        <fgColor rgb="FF1F4B44"/>
        <bgColor rgb="FF003366"/>
      </patternFill>
    </fill>
    <fill>
      <patternFill patternType="solid">
        <fgColor rgb="FFD9E2E0"/>
        <bgColor rgb="FFCCFFCC"/>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6" fontId="11" fillId="3" borderId="1" xfId="0" applyFont="true" applyBorder="tru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6" fontId="14" fillId="3"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5" fontId="16"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66" fontId="22"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6B675C"/>
      <rgbColor rgb="FF9999FF"/>
      <rgbColor rgb="FF993366"/>
      <rgbColor rgb="FFFFFFCC"/>
      <rgbColor rgb="FFCCFFFF"/>
      <rgbColor rgb="FF660066"/>
      <rgbColor rgb="FFFF8080"/>
      <rgbColor rgb="FF0066CC"/>
      <rgbColor rgb="FFD9E2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4B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1" width="255.71"/>
    <col collapsed="false" customWidth="false" hidden="false" outlineLevel="0" max="16384" min="2" style="1" width="8.71"/>
  </cols>
  <sheetData>
    <row r="1" customFormat="false" ht="17.25" hidden="false" customHeight="true" outlineLevel="0" collapsed="false">
      <c r="A1" s="2" t="s">
        <v>0</v>
      </c>
    </row>
    <row r="3" customFormat="false" ht="15" hidden="false" customHeight="true" outlineLevel="0" collapsed="false">
      <c r="A3" s="3" t="s">
        <v>1</v>
      </c>
    </row>
    <row r="4" customFormat="false" ht="45" hidden="false" customHeight="true" outlineLevel="0" collapsed="false">
      <c r="A4" s="4" t="s">
        <v>2</v>
      </c>
    </row>
    <row r="6" customFormat="false" ht="15" hidden="false" customHeight="true" outlineLevel="0" collapsed="false">
      <c r="A6" s="3"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14.25" hidden="false" customHeight="false" outlineLevel="0" collapsed="false">
      <c r="A10" s="1" t="s">
        <v>7</v>
      </c>
    </row>
    <row r="11" customFormat="false" ht="15" hidden="false" customHeight="true" outlineLevel="0" collapsed="false"/>
    <row r="12" customFormat="false" ht="27.75" hidden="false" customHeight="true" outlineLevel="0" collapsed="false">
      <c r="A12" s="3" t="s">
        <v>8</v>
      </c>
    </row>
    <row r="13" customFormat="false" ht="27.75" hidden="false" customHeight="true" outlineLevel="0" collapsed="false">
      <c r="A13" s="5" t="s">
        <v>9</v>
      </c>
    </row>
    <row r="14" customFormat="false" ht="27.75" hidden="false" customHeight="true" outlineLevel="0" collapsed="false">
      <c r="A14" s="5" t="s">
        <v>10</v>
      </c>
    </row>
    <row r="15" customFormat="false" ht="14.25" hidden="false" customHeight="false" outlineLevel="0" collapsed="false">
      <c r="A15" s="5" t="s">
        <v>11</v>
      </c>
    </row>
    <row r="16" customFormat="false" ht="15" hidden="false" customHeight="true" outlineLevel="0" collapsed="false">
      <c r="A16" s="1" t="s">
        <v>12</v>
      </c>
    </row>
    <row r="17" customFormat="false" ht="45" hidden="false" customHeight="true" outlineLevel="0" collapsed="false"/>
    <row r="18" customFormat="false" ht="45" hidden="false" customHeight="true" outlineLevel="0" collapsed="false">
      <c r="A18" s="3" t="s">
        <v>13</v>
      </c>
    </row>
    <row r="19" customFormat="false" ht="45" hidden="false" customHeight="true" outlineLevel="0" collapsed="false">
      <c r="A19" s="4" t="s">
        <v>14</v>
      </c>
    </row>
    <row r="20" customFormat="false" ht="45" hidden="false" customHeight="true" outlineLevel="0" collapsed="false">
      <c r="A20" s="4" t="s">
        <v>15</v>
      </c>
    </row>
    <row r="21" customFormat="false" ht="14.25" hidden="false" customHeight="false" outlineLevel="0" collapsed="false">
      <c r="A21" s="4" t="s">
        <v>16</v>
      </c>
    </row>
    <row r="22" customFormat="false" ht="14.25" hidden="false" customHeight="false" outlineLevel="0" collapsed="false">
      <c r="A22" s="4" t="s">
        <v>17</v>
      </c>
    </row>
    <row r="23" customFormat="false" ht="14.25" hidden="false" customHeight="false" outlineLevel="0" collapsed="false">
      <c r="A23" s="1"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0" width="22"/>
    <col collapsed="false" customWidth="true" hidden="false" outlineLevel="0" max="26" min="2" style="0" width="13"/>
  </cols>
  <sheetData>
    <row r="1" customFormat="false" ht="17.25" hidden="false" customHeight="true" outlineLevel="0" collapsed="false">
      <c r="A1" s="6" t="s">
        <v>19</v>
      </c>
      <c r="B1" s="6"/>
      <c r="C1" s="6"/>
      <c r="D1" s="6"/>
      <c r="E1" s="6"/>
      <c r="F1" s="6"/>
      <c r="G1" s="6"/>
      <c r="H1" s="6"/>
      <c r="I1" s="6"/>
      <c r="J1" s="6"/>
      <c r="K1" s="6"/>
      <c r="L1" s="6"/>
      <c r="M1" s="6"/>
      <c r="N1" s="6"/>
      <c r="O1" s="6"/>
      <c r="P1" s="6"/>
      <c r="Q1" s="6"/>
      <c r="R1" s="6"/>
      <c r="S1" s="6"/>
      <c r="T1" s="6"/>
      <c r="U1" s="6"/>
      <c r="V1" s="6"/>
      <c r="W1" s="6"/>
      <c r="X1" s="6"/>
      <c r="Y1" s="6"/>
      <c r="Z1" s="6"/>
    </row>
    <row r="3" customFormat="false" ht="45" hidden="false" customHeight="true" outlineLevel="0" collapsed="false">
      <c r="A3" s="7" t="s">
        <v>20</v>
      </c>
      <c r="B3" s="7" t="s">
        <v>21</v>
      </c>
      <c r="C3" s="7" t="s">
        <v>22</v>
      </c>
      <c r="D3" s="7" t="s">
        <v>23</v>
      </c>
      <c r="E3" s="7" t="s">
        <v>24</v>
      </c>
      <c r="F3" s="7" t="s">
        <v>25</v>
      </c>
      <c r="G3" s="7" t="s">
        <v>26</v>
      </c>
      <c r="H3" s="7" t="s">
        <v>27</v>
      </c>
      <c r="I3" s="7" t="s">
        <v>28</v>
      </c>
      <c r="J3" s="7" t="s">
        <v>29</v>
      </c>
      <c r="K3" s="7" t="s">
        <v>30</v>
      </c>
      <c r="L3" s="7" t="s">
        <v>31</v>
      </c>
      <c r="M3" s="7" t="s">
        <v>32</v>
      </c>
      <c r="N3" s="7" t="s">
        <v>33</v>
      </c>
      <c r="O3" s="7" t="s">
        <v>34</v>
      </c>
      <c r="P3" s="7" t="s">
        <v>35</v>
      </c>
      <c r="Q3" s="7" t="s">
        <v>36</v>
      </c>
      <c r="R3" s="7" t="s">
        <v>37</v>
      </c>
      <c r="S3" s="7" t="s">
        <v>38</v>
      </c>
      <c r="T3" s="7" t="s">
        <v>39</v>
      </c>
      <c r="U3" s="7" t="s">
        <v>40</v>
      </c>
      <c r="V3" s="7" t="s">
        <v>41</v>
      </c>
      <c r="W3" s="7" t="s">
        <v>42</v>
      </c>
      <c r="X3" s="7" t="s">
        <v>43</v>
      </c>
      <c r="Y3" s="7" t="s">
        <v>44</v>
      </c>
      <c r="Z3" s="7" t="s">
        <v>45</v>
      </c>
    </row>
    <row r="4" customFormat="false" ht="15" hidden="false" customHeight="true" outlineLevel="0" collapsed="false">
      <c r="A4" s="8" t="s">
        <v>46</v>
      </c>
      <c r="B4" s="9" t="n">
        <v>23693</v>
      </c>
      <c r="C4" s="9" t="n">
        <v>26328</v>
      </c>
      <c r="D4" s="9" t="n">
        <v>25995</v>
      </c>
      <c r="E4" s="9" t="n">
        <v>25336</v>
      </c>
      <c r="F4" s="10" t="n">
        <f aca="false">IFERROR(C4/B4-1,"")</f>
        <v>0.111214282699531</v>
      </c>
      <c r="G4" s="10" t="n">
        <f aca="false">IFERROR(D4/C4-1,"")</f>
        <v>-0.0126481312670921</v>
      </c>
      <c r="H4" s="10" t="n">
        <f aca="false">IFERROR(E4/D4-1,"")</f>
        <v>-0.025351029044047</v>
      </c>
      <c r="I4" s="9" t="n">
        <v>4804</v>
      </c>
      <c r="J4" s="9" t="n">
        <v>5528</v>
      </c>
      <c r="K4" s="9" t="n">
        <v>5768</v>
      </c>
      <c r="L4" s="9" t="n">
        <v>5640</v>
      </c>
      <c r="M4" s="10" t="n">
        <f aca="false">IFERROR(I4/B4,"")</f>
        <v>0.202760308952011</v>
      </c>
      <c r="N4" s="10" t="n">
        <f aca="false">IFERROR(J4/C4,"")</f>
        <v>0.209966575508964</v>
      </c>
      <c r="O4" s="10" t="n">
        <f aca="false">IFERROR(K4/D4,"")</f>
        <v>0.221888824773995</v>
      </c>
      <c r="P4" s="10" t="n">
        <f aca="false">IFERROR(L4/E4,"")</f>
        <v>0.222608146510894</v>
      </c>
      <c r="Q4" s="11" t="n">
        <v>-0.013</v>
      </c>
      <c r="R4" s="11" t="n">
        <v>0.116</v>
      </c>
      <c r="S4" s="11" t="n">
        <v>0.103</v>
      </c>
      <c r="T4" s="11" t="n">
        <v>-0.038</v>
      </c>
      <c r="U4" s="11" t="n">
        <v>0.047</v>
      </c>
      <c r="V4" s="11" t="n">
        <v>-0.008</v>
      </c>
      <c r="W4" s="11" t="n">
        <v>0.004</v>
      </c>
      <c r="X4" s="11" t="n">
        <v>-0.005</v>
      </c>
      <c r="Y4" s="11" t="n">
        <v>-0.001</v>
      </c>
      <c r="Z4" s="11" t="n">
        <v>-0.02</v>
      </c>
    </row>
    <row r="5" customFormat="false" ht="15" hidden="false" customHeight="true" outlineLevel="0" collapsed="false">
      <c r="A5" s="8" t="s">
        <v>47</v>
      </c>
      <c r="B5" s="9" t="n">
        <v>18794</v>
      </c>
      <c r="C5" s="9" t="n">
        <v>19128</v>
      </c>
      <c r="D5" s="9" t="n">
        <v>19098</v>
      </c>
      <c r="E5" s="9" t="n">
        <v>18910</v>
      </c>
      <c r="F5" s="10" t="n">
        <f aca="false">IFERROR(C5/B5-1,"")</f>
        <v>0.0177716292433756</v>
      </c>
      <c r="G5" s="10" t="n">
        <f aca="false">IFERROR(D5/C5-1,"")</f>
        <v>-0.00156838143036386</v>
      </c>
      <c r="H5" s="10" t="n">
        <f aca="false">IFERROR(E5/D5-1,"")</f>
        <v>-0.00984396271860932</v>
      </c>
      <c r="I5" s="9" t="n">
        <v>3439</v>
      </c>
      <c r="J5" s="9" t="n">
        <v>3138</v>
      </c>
      <c r="K5" s="9" t="n">
        <v>3127</v>
      </c>
      <c r="L5" s="9" t="n">
        <v>3192</v>
      </c>
      <c r="M5" s="10" t="n">
        <f aca="false">IFERROR(I5/B5,"")</f>
        <v>0.182983931041822</v>
      </c>
      <c r="N5" s="10" t="n">
        <f aca="false">IFERROR(J5/C5,"")</f>
        <v>0.16405269761606</v>
      </c>
      <c r="O5" s="10" t="n">
        <f aca="false">IFERROR(K5/D5,"")</f>
        <v>0.163734422452613</v>
      </c>
      <c r="P5" s="10" t="n">
        <f aca="false">IFERROR(L5/E5,"")</f>
        <v>0.168799576943416</v>
      </c>
      <c r="Q5" s="11" t="n">
        <v>0.009</v>
      </c>
      <c r="R5" s="11" t="n">
        <v>0.064</v>
      </c>
      <c r="S5" s="11" t="n">
        <v>0.072</v>
      </c>
      <c r="T5" s="11" t="n">
        <v>0.021</v>
      </c>
      <c r="U5" s="11" t="n">
        <v>-0.076</v>
      </c>
      <c r="V5" s="11" t="n">
        <v>0.008</v>
      </c>
      <c r="W5" s="11" t="n">
        <v>0.025</v>
      </c>
      <c r="X5" s="11" t="n">
        <v>0.033</v>
      </c>
      <c r="Y5" s="11" t="n">
        <v>-0.019</v>
      </c>
      <c r="Z5" s="11" t="n">
        <v>-0.025</v>
      </c>
    </row>
    <row r="6" customFormat="false" ht="15" hidden="false" customHeight="true" outlineLevel="0" collapsed="false">
      <c r="A6" s="8" t="s">
        <v>48</v>
      </c>
      <c r="B6" s="9" t="n">
        <v>17894</v>
      </c>
      <c r="C6" s="9" t="n">
        <v>18484</v>
      </c>
      <c r="D6" s="9" t="n">
        <v>17519</v>
      </c>
      <c r="E6" s="9" t="n">
        <v>16793</v>
      </c>
      <c r="F6" s="10" t="n">
        <f aca="false">IFERROR(C6/B6-1,"")</f>
        <v>0.0329719459036548</v>
      </c>
      <c r="G6" s="10" t="n">
        <f aca="false">IFERROR(D6/C6-1,"")</f>
        <v>-0.0522073144341052</v>
      </c>
      <c r="H6" s="10" t="n">
        <f aca="false">IFERROR(E6/D6-1,"")</f>
        <v>-0.0414407215023689</v>
      </c>
      <c r="I6" s="9" t="n">
        <v>4288</v>
      </c>
      <c r="J6" s="9" t="n">
        <v>4237</v>
      </c>
      <c r="K6" s="9" t="n">
        <v>4109</v>
      </c>
      <c r="L6" s="9" t="n">
        <v>3916</v>
      </c>
      <c r="M6" s="10" t="n">
        <f aca="false">IFERROR(I6/B6,"")</f>
        <v>0.239633396669275</v>
      </c>
      <c r="N6" s="10" t="n">
        <f aca="false">IFERROR(J6/C6,"")</f>
        <v>0.229225275914304</v>
      </c>
      <c r="O6" s="10" t="n">
        <f aca="false">IFERROR(K6/D6,"")</f>
        <v>0.23454535076203</v>
      </c>
      <c r="P6" s="10" t="n">
        <f aca="false">IFERROR(L6/E6,"")</f>
        <v>0.233192401595903</v>
      </c>
      <c r="Q6" s="11" t="n">
        <v>0.001</v>
      </c>
      <c r="R6" s="11" t="n">
        <v>0.081</v>
      </c>
      <c r="S6" s="11" t="n">
        <v>0.082</v>
      </c>
      <c r="T6" s="11" t="n">
        <v>-0.001</v>
      </c>
      <c r="U6" s="11" t="n">
        <v>-0.049</v>
      </c>
      <c r="V6" s="11" t="n">
        <v>0.006</v>
      </c>
      <c r="W6" s="11" t="n">
        <v>0.028</v>
      </c>
      <c r="X6" s="11" t="n">
        <v>0.034</v>
      </c>
      <c r="Y6" s="11" t="n">
        <v>0</v>
      </c>
      <c r="Z6" s="11" t="n">
        <v>-0.075</v>
      </c>
    </row>
    <row r="7" customFormat="false" ht="15" hidden="false" customHeight="true" outlineLevel="0" collapsed="false">
      <c r="A7" s="8" t="s">
        <v>49</v>
      </c>
      <c r="B7" s="9" t="n">
        <v>10086</v>
      </c>
      <c r="C7" s="9" t="n">
        <v>11819</v>
      </c>
      <c r="D7" s="9" t="n">
        <v>12196</v>
      </c>
      <c r="E7" s="9" t="n">
        <v>11933</v>
      </c>
      <c r="F7" s="10" t="n">
        <f aca="false">IFERROR(C7/B7-1,"")</f>
        <v>0.171822327979377</v>
      </c>
      <c r="G7" s="10" t="n">
        <f aca="false">IFERROR(D7/C7-1,"")</f>
        <v>0.0318977916913445</v>
      </c>
      <c r="H7" s="10" t="n">
        <f aca="false">IFERROR(E7/D7-1,"")</f>
        <v>-0.0215644473597901</v>
      </c>
      <c r="I7" s="9" t="n">
        <v>2208</v>
      </c>
      <c r="J7" s="9" t="n">
        <v>2501</v>
      </c>
      <c r="K7" s="9" t="n">
        <v>2520</v>
      </c>
      <c r="L7" s="9" t="n">
        <v>2429</v>
      </c>
      <c r="M7" s="10" t="n">
        <f aca="false">IFERROR(I7/B7,"")</f>
        <v>0.218917311124331</v>
      </c>
      <c r="N7" s="10" t="n">
        <f aca="false">IFERROR(J7/C7,"")</f>
        <v>0.211608427108892</v>
      </c>
      <c r="O7" s="10" t="n">
        <f aca="false">IFERROR(K7/D7,"")</f>
        <v>0.206625122991145</v>
      </c>
      <c r="P7" s="10" t="n">
        <f aca="false">IFERROR(L7/E7,"")</f>
        <v>0.203553171876309</v>
      </c>
      <c r="Q7" s="11" t="n">
        <v>0.015</v>
      </c>
      <c r="R7" s="11" t="n">
        <v>0.116</v>
      </c>
      <c r="S7" s="11" t="n">
        <v>0.131</v>
      </c>
      <c r="T7" s="11" t="n">
        <v>0.001</v>
      </c>
      <c r="U7" s="11" t="n">
        <v>0.04</v>
      </c>
      <c r="V7" s="11" t="n">
        <v>-0.003</v>
      </c>
      <c r="W7" s="11" t="n">
        <v>0.027</v>
      </c>
      <c r="X7" s="11" t="n">
        <v>0.025</v>
      </c>
      <c r="Y7" s="11" t="n">
        <v>0.004</v>
      </c>
      <c r="Z7" s="11" t="n">
        <v>-0.049</v>
      </c>
    </row>
    <row r="8" customFormat="false" ht="15" hidden="false" customHeight="true" outlineLevel="0" collapsed="false">
      <c r="A8" s="8" t="s">
        <v>50</v>
      </c>
      <c r="B8" s="9" t="n">
        <v>5175</v>
      </c>
      <c r="C8" s="9" t="n">
        <v>5351</v>
      </c>
      <c r="D8" s="9" t="n">
        <v>5037</v>
      </c>
      <c r="E8" s="9" t="n">
        <v>4973</v>
      </c>
      <c r="F8" s="10" t="n">
        <f aca="false">IFERROR(C8/B8-1,"")</f>
        <v>0.0340096618357488</v>
      </c>
      <c r="G8" s="10" t="n">
        <f aca="false">IFERROR(D8/C8-1,"")</f>
        <v>-0.0586806204447767</v>
      </c>
      <c r="H8" s="10" t="n">
        <f aca="false">IFERROR(E8/D8-1,"")</f>
        <v>-0.0127059757792337</v>
      </c>
      <c r="I8" s="9" t="n">
        <v>700</v>
      </c>
      <c r="J8" s="9" t="n">
        <v>862</v>
      </c>
      <c r="K8" s="9" t="n">
        <v>832</v>
      </c>
      <c r="L8" s="9" t="n">
        <v>803</v>
      </c>
      <c r="M8" s="10" t="n">
        <f aca="false">IFERROR(I8/B8,"")</f>
        <v>0.135265700483092</v>
      </c>
      <c r="N8" s="10" t="n">
        <f aca="false">IFERROR(J8/C8,"")</f>
        <v>0.16109138478789</v>
      </c>
      <c r="O8" s="10" t="n">
        <f aca="false">IFERROR(K8/D8,"")</f>
        <v>0.165177685130038</v>
      </c>
      <c r="P8" s="10" t="n">
        <f aca="false">IFERROR(L8/E8,"")</f>
        <v>0.161471948522019</v>
      </c>
      <c r="Q8" s="11" t="n">
        <v>0.01</v>
      </c>
      <c r="R8" s="11" t="n">
        <v>0.025</v>
      </c>
      <c r="S8" s="11" t="n">
        <v>0.035</v>
      </c>
      <c r="T8" s="11" t="n">
        <v>0</v>
      </c>
      <c r="U8" s="11" t="n">
        <v>-0.001</v>
      </c>
      <c r="V8" s="11" t="n">
        <v>0.043</v>
      </c>
      <c r="W8" s="11" t="n">
        <v>-0.021</v>
      </c>
      <c r="X8" s="11" t="n">
        <v>0.021</v>
      </c>
      <c r="Y8" s="11" t="n">
        <v>0.001</v>
      </c>
      <c r="Z8" s="11" t="n">
        <v>-0.035</v>
      </c>
    </row>
    <row r="9" customFormat="false" ht="15" hidden="false" customHeight="true" outlineLevel="0" collapsed="false">
      <c r="A9" s="8" t="s">
        <v>51</v>
      </c>
      <c r="B9" s="9" t="n">
        <v>4822</v>
      </c>
      <c r="C9" s="9" t="n">
        <v>6602</v>
      </c>
      <c r="D9" s="9" t="n">
        <v>6498</v>
      </c>
      <c r="E9" s="9" t="n">
        <v>6739</v>
      </c>
      <c r="F9" s="10" t="n">
        <f aca="false">IFERROR(C9/B9-1,"")</f>
        <v>0.369141435089175</v>
      </c>
      <c r="G9" s="10" t="n">
        <f aca="false">IFERROR(D9/C9-1,"")</f>
        <v>-0.0157528021811573</v>
      </c>
      <c r="H9" s="10" t="n">
        <f aca="false">IFERROR(E9/D9-1,"")</f>
        <v>0.0370883348722684</v>
      </c>
      <c r="I9" s="9" t="n">
        <v>654</v>
      </c>
      <c r="J9" s="9" t="n">
        <v>899</v>
      </c>
      <c r="K9" s="9" t="n">
        <v>777</v>
      </c>
      <c r="L9" s="9" t="n">
        <v>943</v>
      </c>
      <c r="M9" s="10" t="n">
        <f aca="false">IFERROR(I9/B9,"")</f>
        <v>0.135628369970966</v>
      </c>
      <c r="N9" s="10" t="n">
        <f aca="false">IFERROR(J9/C9,"")</f>
        <v>0.136170857315965</v>
      </c>
      <c r="O9" s="10" t="n">
        <f aca="false">IFERROR(K9/D9,"")</f>
        <v>0.119575253924284</v>
      </c>
      <c r="P9" s="10" t="n">
        <f aca="false">IFERROR(L9/E9,"")</f>
        <v>0.139931740614334</v>
      </c>
      <c r="Q9" s="11" t="n">
        <v>0.006</v>
      </c>
      <c r="R9" s="11" t="n">
        <v>0.034</v>
      </c>
      <c r="S9" s="11" t="n">
        <v>0.04</v>
      </c>
      <c r="T9" s="11" t="n">
        <v>0.315</v>
      </c>
      <c r="U9" s="11" t="n">
        <v>0.015</v>
      </c>
      <c r="V9" s="11" t="n">
        <v>0.055</v>
      </c>
      <c r="W9" s="11" t="n">
        <v>0.007</v>
      </c>
      <c r="X9" s="11" t="n">
        <v>0.062</v>
      </c>
      <c r="Y9" s="11" t="n">
        <v>0.002</v>
      </c>
      <c r="Z9" s="11" t="n">
        <v>-0.028</v>
      </c>
    </row>
    <row r="10" customFormat="false" ht="15" hidden="false" customHeight="true" outlineLevel="0" collapsed="false">
      <c r="A10" s="8" t="s">
        <v>52</v>
      </c>
      <c r="B10" s="9" t="n">
        <v>6418</v>
      </c>
      <c r="C10" s="9" t="n">
        <v>6448</v>
      </c>
      <c r="D10" s="9" t="n">
        <v>6372</v>
      </c>
      <c r="E10" s="9" t="n">
        <v>6378</v>
      </c>
      <c r="F10" s="10" t="n">
        <f aca="false">IFERROR(C10/B10-1,"")</f>
        <v>0.00467435338111555</v>
      </c>
      <c r="G10" s="10" t="n">
        <f aca="false">IFERROR(D10/C10-1,"")</f>
        <v>-0.0117866004962779</v>
      </c>
      <c r="H10" s="10" t="n">
        <f aca="false">IFERROR(E10/D10-1,"")</f>
        <v>0.000941619585687281</v>
      </c>
      <c r="I10" s="9" t="n">
        <v>1475</v>
      </c>
      <c r="J10" s="9" t="n">
        <v>1388</v>
      </c>
      <c r="K10" s="9" t="n">
        <v>1291</v>
      </c>
      <c r="L10" s="9" t="n">
        <v>1278</v>
      </c>
      <c r="M10" s="10" t="n">
        <f aca="false">IFERROR(I10/B10,"")</f>
        <v>0.229822374571518</v>
      </c>
      <c r="N10" s="10" t="n">
        <f aca="false">IFERROR(J10/C10,"")</f>
        <v>0.215260545905707</v>
      </c>
      <c r="O10" s="10" t="n">
        <f aca="false">IFERROR(K10/D10,"")</f>
        <v>0.202605147520402</v>
      </c>
      <c r="P10" s="10" t="n">
        <f aca="false">IFERROR(L10/E10,"")</f>
        <v>0.200376293508937</v>
      </c>
      <c r="Q10" s="11" t="n">
        <v>-0.017</v>
      </c>
      <c r="R10" s="11" t="n">
        <v>0.052</v>
      </c>
      <c r="S10" s="11" t="n">
        <v>0.035</v>
      </c>
      <c r="T10" s="11" t="n">
        <v>-0.003</v>
      </c>
      <c r="U10" s="11" t="n">
        <v>-0.027</v>
      </c>
      <c r="V10" s="11" t="n">
        <v>0.016</v>
      </c>
      <c r="W10" s="11" t="n">
        <v>0.006</v>
      </c>
      <c r="X10" s="11" t="n">
        <v>0.022</v>
      </c>
      <c r="Y10" s="11" t="n">
        <v>0.002</v>
      </c>
      <c r="Z10" s="11" t="n">
        <v>-0.024</v>
      </c>
    </row>
    <row r="11" customFormat="false" ht="15" hidden="false" customHeight="true" outlineLevel="0" collapsed="false">
      <c r="A11" s="8" t="s">
        <v>53</v>
      </c>
      <c r="B11" s="9" t="n">
        <v>206</v>
      </c>
      <c r="C11" s="9" t="n">
        <v>264</v>
      </c>
      <c r="D11" s="9" t="n">
        <v>283</v>
      </c>
      <c r="E11" s="9" t="n">
        <v>292</v>
      </c>
      <c r="F11" s="10" t="n">
        <f aca="false">IFERROR(C11/B11-1,"")</f>
        <v>0.281553398058253</v>
      </c>
      <c r="G11" s="10" t="n">
        <f aca="false">IFERROR(D11/C11-1,"")</f>
        <v>0.071969696969697</v>
      </c>
      <c r="H11" s="10" t="n">
        <f aca="false">IFERROR(E11/D11-1,"")</f>
        <v>0.0318021201413428</v>
      </c>
      <c r="I11" s="9" t="n">
        <v>-32</v>
      </c>
      <c r="J11" s="9" t="n">
        <v>-17</v>
      </c>
      <c r="K11" s="9" t="n">
        <v>-12</v>
      </c>
      <c r="L11" s="9" t="n">
        <v>-13</v>
      </c>
      <c r="M11" s="10" t="n">
        <f aca="false">IFERROR(I11/B11,"")</f>
        <v>-0.155339805825243</v>
      </c>
      <c r="N11" s="10" t="n">
        <f aca="false">IFERROR(J11/C11,"")</f>
        <v>-0.0643939393939394</v>
      </c>
      <c r="O11" s="10" t="n">
        <f aca="false">IFERROR(K11/D11,"")</f>
        <v>-0.0424028268551237</v>
      </c>
      <c r="P11" s="10" t="n">
        <f aca="false">IFERROR(L11/E11,"")</f>
        <v>-0.0445205479452055</v>
      </c>
      <c r="Q11" s="11" t="n">
        <v>0.252</v>
      </c>
      <c r="R11" s="11" t="n">
        <v>0.032</v>
      </c>
      <c r="S11" s="11" t="n">
        <v>0.284</v>
      </c>
      <c r="T11" s="11" t="n">
        <v>0</v>
      </c>
      <c r="U11" s="11" t="n">
        <v>-0.001</v>
      </c>
      <c r="V11" s="11" t="n">
        <v>0.053</v>
      </c>
      <c r="W11" s="11" t="n">
        <v>0.013</v>
      </c>
      <c r="X11" s="11" t="n">
        <v>0.066</v>
      </c>
      <c r="Y11" s="11" t="n">
        <v>0</v>
      </c>
      <c r="Z11" s="11" t="n">
        <v>-0.027</v>
      </c>
    </row>
    <row r="12" customFormat="false" ht="15" hidden="false" customHeight="true" outlineLevel="0" collapsed="false">
      <c r="A12" s="12" t="s">
        <v>54</v>
      </c>
      <c r="B12" s="13" t="n">
        <f aca="false">SUM(B4:B11)</f>
        <v>87088</v>
      </c>
      <c r="C12" s="13" t="n">
        <f aca="false">SUM(C4:C11)</f>
        <v>94424</v>
      </c>
      <c r="D12" s="13" t="n">
        <f aca="false">SUM(D4:D11)</f>
        <v>92998</v>
      </c>
      <c r="E12" s="13" t="n">
        <f aca="false">SUM(E4:E11)</f>
        <v>91354</v>
      </c>
      <c r="F12" s="14" t="n">
        <f aca="false">IFERROR(C12/B12-1,"")</f>
        <v>0.0842366342090759</v>
      </c>
      <c r="G12" s="14" t="n">
        <f aca="false">IFERROR(D12/C12-1,"")</f>
        <v>-0.0151020926882995</v>
      </c>
      <c r="H12" s="14" t="n">
        <f aca="false">IFERROR(E12/D12-1,"")</f>
        <v>-0.0176777995225704</v>
      </c>
      <c r="I12" s="15" t="n">
        <v>15119</v>
      </c>
      <c r="J12" s="15" t="n">
        <v>16103</v>
      </c>
      <c r="K12" s="15" t="n">
        <v>16053</v>
      </c>
      <c r="L12" s="15" t="n">
        <v>15704</v>
      </c>
      <c r="M12" s="14" t="n">
        <f aca="false">IFERROR(I12/B12,"")</f>
        <v>0.173606007716333</v>
      </c>
      <c r="N12" s="14" t="n">
        <f aca="false">IFERROR(J12/C12,"")</f>
        <v>0.170539269677201</v>
      </c>
      <c r="O12" s="14" t="n">
        <f aca="false">IFERROR(K12/D12,"")</f>
        <v>0.172616615411084</v>
      </c>
      <c r="P12" s="14" t="n">
        <f aca="false">IFERROR(L12/E12,"")</f>
        <v>0.171902708146332</v>
      </c>
      <c r="Q12" s="16" t="n">
        <v>0.001</v>
      </c>
      <c r="R12" s="16" t="n">
        <v>0.082</v>
      </c>
      <c r="S12" s="16" t="n">
        <v>0.083</v>
      </c>
      <c r="T12" s="16" t="n">
        <v>0.011</v>
      </c>
      <c r="U12" s="16" t="n">
        <v>-0.009</v>
      </c>
      <c r="V12" s="16" t="n">
        <v>0.008</v>
      </c>
      <c r="W12" s="16" t="n">
        <v>0.015</v>
      </c>
      <c r="X12" s="16" t="n">
        <v>0.022</v>
      </c>
      <c r="Y12" s="16" t="n">
        <v>-0.003</v>
      </c>
      <c r="Z12" s="16" t="n">
        <v>-0.037</v>
      </c>
    </row>
    <row r="14" customFormat="false" ht="15" hidden="false" customHeight="true" outlineLevel="0" collapsed="false">
      <c r="A14" s="17" t="s">
        <v>55</v>
      </c>
      <c r="B14" s="17"/>
      <c r="C14" s="17"/>
      <c r="D14" s="17"/>
      <c r="E14" s="17"/>
      <c r="F14" s="17"/>
      <c r="G14" s="17"/>
      <c r="H14" s="17"/>
      <c r="I14" s="17"/>
      <c r="J14" s="17"/>
    </row>
    <row r="15" customFormat="false" ht="30" hidden="false" customHeight="true" outlineLevel="0" collapsed="false">
      <c r="A15" s="18" t="s">
        <v>56</v>
      </c>
      <c r="B15" s="18"/>
      <c r="C15" s="18"/>
      <c r="D15" s="18"/>
      <c r="E15" s="18"/>
      <c r="F15" s="18"/>
      <c r="G15" s="18"/>
      <c r="H15" s="18"/>
      <c r="I15" s="18"/>
      <c r="J15" s="18"/>
      <c r="K15" s="18"/>
      <c r="L15" s="18"/>
      <c r="M15" s="18"/>
      <c r="N15" s="18"/>
    </row>
  </sheetData>
  <mergeCells count="3">
    <mergeCell ref="A1:Z1"/>
    <mergeCell ref="A14:J14"/>
    <mergeCell ref="A15:N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0" width="26"/>
    <col collapsed="false" customWidth="true" hidden="false" outlineLevel="0" max="22" min="2" style="0" width="13"/>
  </cols>
  <sheetData>
    <row r="1" customFormat="false" ht="17.25" hidden="false" customHeight="true" outlineLevel="0" collapsed="false">
      <c r="A1" s="6" t="s">
        <v>57</v>
      </c>
      <c r="B1" s="6"/>
      <c r="C1" s="6"/>
      <c r="D1" s="6"/>
      <c r="E1" s="6"/>
      <c r="F1" s="6"/>
      <c r="G1" s="6"/>
      <c r="H1" s="6"/>
      <c r="I1" s="6"/>
      <c r="J1" s="6"/>
      <c r="K1" s="6"/>
      <c r="L1" s="6"/>
      <c r="M1" s="6"/>
      <c r="N1" s="6"/>
      <c r="O1" s="6"/>
      <c r="P1" s="6"/>
      <c r="Q1" s="6"/>
      <c r="R1" s="6"/>
      <c r="S1" s="6"/>
      <c r="T1" s="6"/>
      <c r="U1" s="6"/>
      <c r="V1" s="6"/>
    </row>
    <row r="3" customFormat="false" ht="45" hidden="false" customHeight="true" outlineLevel="0" collapsed="false">
      <c r="A3" s="7" t="s">
        <v>58</v>
      </c>
      <c r="B3" s="7" t="s">
        <v>21</v>
      </c>
      <c r="C3" s="7" t="s">
        <v>22</v>
      </c>
      <c r="D3" s="7" t="s">
        <v>23</v>
      </c>
      <c r="E3" s="7" t="s">
        <v>24</v>
      </c>
      <c r="F3" s="7" t="s">
        <v>25</v>
      </c>
      <c r="G3" s="7" t="s">
        <v>26</v>
      </c>
      <c r="H3" s="7" t="s">
        <v>27</v>
      </c>
      <c r="I3" s="7" t="s">
        <v>28</v>
      </c>
      <c r="J3" s="7" t="s">
        <v>29</v>
      </c>
      <c r="K3" s="7" t="s">
        <v>30</v>
      </c>
      <c r="L3" s="7" t="s">
        <v>31</v>
      </c>
      <c r="M3" s="7" t="s">
        <v>32</v>
      </c>
      <c r="N3" s="7" t="s">
        <v>33</v>
      </c>
      <c r="O3" s="7" t="s">
        <v>34</v>
      </c>
      <c r="P3" s="7" t="s">
        <v>35</v>
      </c>
      <c r="Q3" s="7" t="s">
        <v>36</v>
      </c>
      <c r="R3" s="7" t="s">
        <v>37</v>
      </c>
      <c r="S3" s="7" t="s">
        <v>38</v>
      </c>
      <c r="T3" s="7" t="s">
        <v>41</v>
      </c>
      <c r="U3" s="7" t="s">
        <v>42</v>
      </c>
      <c r="V3" s="7" t="s">
        <v>43</v>
      </c>
    </row>
    <row r="4" customFormat="false" ht="15" hidden="false" customHeight="true" outlineLevel="0" collapsed="false">
      <c r="A4" s="8" t="s">
        <v>59</v>
      </c>
      <c r="B4" s="9" t="n">
        <v>23975</v>
      </c>
      <c r="C4" s="9" t="n">
        <v>25218</v>
      </c>
      <c r="D4" s="9" t="n">
        <v>24786</v>
      </c>
      <c r="E4" s="9" t="n">
        <v>24598</v>
      </c>
      <c r="F4" s="10" t="n">
        <f aca="false">IFERROR(C4/B4-1,"")</f>
        <v>0.0518456725755996</v>
      </c>
      <c r="G4" s="10" t="n">
        <f aca="false">IFERROR(D4/C4-1,"")</f>
        <v>-0.0171306209850107</v>
      </c>
      <c r="H4" s="10" t="n">
        <f aca="false">IFERROR(E4/D4-1,"")</f>
        <v>-0.0075849269749052</v>
      </c>
      <c r="I4" s="9" t="n">
        <v>5631</v>
      </c>
      <c r="J4" s="9" t="n">
        <v>5593</v>
      </c>
      <c r="K4" s="9" t="n">
        <v>5130</v>
      </c>
      <c r="L4" s="9" t="n">
        <v>4920</v>
      </c>
      <c r="M4" s="10" t="n">
        <f aca="false">IFERROR(I4/B4,"")</f>
        <v>0.234869655891554</v>
      </c>
      <c r="N4" s="10" t="n">
        <f aca="false">IFERROR(J4/C4,"")</f>
        <v>0.221786025854548</v>
      </c>
      <c r="O4" s="10" t="n">
        <f aca="false">IFERROR(K4/D4,"")</f>
        <v>0.206971677559913</v>
      </c>
      <c r="P4" s="10" t="n">
        <f aca="false">IFERROR(L4/E4,"")</f>
        <v>0.200016261484674</v>
      </c>
      <c r="Q4" s="11" t="n">
        <v>0.002</v>
      </c>
      <c r="R4" s="11" t="n">
        <v>0.078</v>
      </c>
      <c r="S4" s="11" t="n">
        <v>0.08</v>
      </c>
      <c r="T4" s="11" t="n">
        <v>0.016</v>
      </c>
      <c r="U4" s="11" t="n">
        <v>0.017</v>
      </c>
      <c r="V4" s="11" t="n">
        <v>0.033</v>
      </c>
    </row>
    <row r="5" customFormat="false" ht="15" hidden="false" customHeight="true" outlineLevel="0" collapsed="false">
      <c r="A5" s="8" t="s">
        <v>60</v>
      </c>
      <c r="B5" s="9" t="n">
        <v>4040</v>
      </c>
      <c r="C5" s="9" t="n">
        <v>3536</v>
      </c>
      <c r="D5" s="9" t="n">
        <v>3320</v>
      </c>
      <c r="E5" s="9" t="n">
        <v>3180</v>
      </c>
      <c r="F5" s="10" t="n">
        <f aca="false">IFERROR(C5/B5-1,"")</f>
        <v>-0.124752475247525</v>
      </c>
      <c r="G5" s="10" t="n">
        <f aca="false">IFERROR(D5/C5-1,"")</f>
        <v>-0.0610859728506787</v>
      </c>
      <c r="H5" s="10" t="n">
        <f aca="false">IFERROR(E5/D5-1,"")</f>
        <v>-0.0421686746987952</v>
      </c>
      <c r="I5" s="9" t="n">
        <v>364</v>
      </c>
      <c r="J5" s="9" t="n">
        <v>277</v>
      </c>
      <c r="K5" s="9" t="n">
        <v>351</v>
      </c>
      <c r="L5" s="9" t="n">
        <v>297</v>
      </c>
      <c r="M5" s="10" t="n">
        <f aca="false">IFERROR(I5/B5,"")</f>
        <v>0.0900990099009901</v>
      </c>
      <c r="N5" s="10" t="n">
        <f aca="false">IFERROR(J5/C5,"")</f>
        <v>0.0783371040723982</v>
      </c>
      <c r="O5" s="10" t="n">
        <f aca="false">IFERROR(K5/D5,"")</f>
        <v>0.105722891566265</v>
      </c>
      <c r="P5" s="10" t="n">
        <f aca="false">IFERROR(L5/E5,"")</f>
        <v>0.0933962264150943</v>
      </c>
      <c r="Q5" s="11" t="n">
        <v>0.022</v>
      </c>
      <c r="R5" s="11" t="n">
        <v>0.089</v>
      </c>
      <c r="S5" s="11" t="n">
        <v>0.11</v>
      </c>
      <c r="T5" s="11" t="n">
        <v>-0.01</v>
      </c>
      <c r="U5" s="11" t="n">
        <v>0.032</v>
      </c>
      <c r="V5" s="11" t="n">
        <v>0.023</v>
      </c>
    </row>
    <row r="6" customFormat="false" ht="15" hidden="false" customHeight="true" outlineLevel="0" collapsed="false">
      <c r="A6" s="8" t="s">
        <v>61</v>
      </c>
      <c r="B6" s="9" t="n">
        <v>10700</v>
      </c>
      <c r="C6" s="9" t="n">
        <v>11289</v>
      </c>
      <c r="D6" s="9" t="n">
        <v>10981</v>
      </c>
      <c r="E6" s="9" t="n">
        <v>10397</v>
      </c>
      <c r="F6" s="10" t="n">
        <f aca="false">IFERROR(C6/B6-1,"")</f>
        <v>0.0550467289719627</v>
      </c>
      <c r="G6" s="10" t="n">
        <f aca="false">IFERROR(D6/C6-1,"")</f>
        <v>-0.0272831960315352</v>
      </c>
      <c r="H6" s="10" t="n">
        <f aca="false">IFERROR(E6/D6-1,"")</f>
        <v>-0.0531827702395046</v>
      </c>
      <c r="I6" s="9" t="n">
        <v>2707</v>
      </c>
      <c r="J6" s="9" t="n">
        <v>2568</v>
      </c>
      <c r="K6" s="9" t="n">
        <v>2688</v>
      </c>
      <c r="L6" s="9" t="n">
        <v>2442</v>
      </c>
      <c r="M6" s="10" t="n">
        <f aca="false">IFERROR(I6/B6,"")</f>
        <v>0.252990654205607</v>
      </c>
      <c r="N6" s="10" t="n">
        <f aca="false">IFERROR(J6/C6,"")</f>
        <v>0.227478076003189</v>
      </c>
      <c r="O6" s="10" t="n">
        <f aca="false">IFERROR(K6/D6,"")</f>
        <v>0.244786449321555</v>
      </c>
      <c r="P6" s="10" t="n">
        <f aca="false">IFERROR(L6/E6,"")</f>
        <v>0.234875444839858</v>
      </c>
      <c r="Q6" s="11" t="n">
        <v>-0.043</v>
      </c>
      <c r="R6" s="11" t="n">
        <v>0.096</v>
      </c>
      <c r="S6" s="11" t="n">
        <v>0.054</v>
      </c>
      <c r="T6" s="11" t="n">
        <v>-0.007</v>
      </c>
      <c r="U6" s="11" t="n">
        <v>0.001</v>
      </c>
      <c r="V6" s="11" t="n">
        <v>-0.006</v>
      </c>
    </row>
    <row r="7" customFormat="false" ht="15" hidden="false" customHeight="true" outlineLevel="0" collapsed="false">
      <c r="A7" s="8" t="s">
        <v>62</v>
      </c>
      <c r="B7" s="9" t="n">
        <v>13157</v>
      </c>
      <c r="C7" s="9" t="n">
        <v>15678</v>
      </c>
      <c r="D7" s="9" t="n">
        <v>15278</v>
      </c>
      <c r="E7" s="9" t="n">
        <v>15137</v>
      </c>
      <c r="F7" s="10" t="n">
        <f aca="false">IFERROR(C7/B7-1,"")</f>
        <v>0.191609029414</v>
      </c>
      <c r="G7" s="10" t="n">
        <f aca="false">IFERROR(D7/C7-1,"")</f>
        <v>-0.0255134583492792</v>
      </c>
      <c r="H7" s="10" t="n">
        <f aca="false">IFERROR(E7/D7-1,"")</f>
        <v>-0.00922895666972112</v>
      </c>
      <c r="I7" s="9" t="n">
        <v>2307</v>
      </c>
      <c r="J7" s="9" t="n">
        <v>2990</v>
      </c>
      <c r="K7" s="9" t="n">
        <v>2831</v>
      </c>
      <c r="L7" s="9" t="n">
        <v>3006</v>
      </c>
      <c r="M7" s="10" t="n">
        <f aca="false">IFERROR(I7/B7,"")</f>
        <v>0.17534392338679</v>
      </c>
      <c r="N7" s="10" t="n">
        <f aca="false">IFERROR(J7/C7,"")</f>
        <v>0.190713101160862</v>
      </c>
      <c r="O7" s="10" t="n">
        <f aca="false">IFERROR(K7/D7,"")</f>
        <v>0.185299122921848</v>
      </c>
      <c r="P7" s="10" t="n">
        <f aca="false">IFERROR(L7/E7,"")</f>
        <v>0.198586245623307</v>
      </c>
      <c r="Q7" s="11" t="n">
        <v>0.017</v>
      </c>
      <c r="R7" s="11" t="n">
        <v>0.057</v>
      </c>
      <c r="S7" s="11" t="n">
        <v>0.074</v>
      </c>
      <c r="T7" s="11" t="n">
        <v>0.019</v>
      </c>
      <c r="U7" s="11" t="n">
        <v>0.009</v>
      </c>
      <c r="V7" s="11" t="n">
        <v>0.028</v>
      </c>
    </row>
    <row r="8" customFormat="false" ht="15" hidden="false" customHeight="true" outlineLevel="0" collapsed="false">
      <c r="A8" s="8" t="s">
        <v>63</v>
      </c>
      <c r="B8" s="9" t="n">
        <v>12146</v>
      </c>
      <c r="C8" s="9" t="n">
        <v>12484</v>
      </c>
      <c r="D8" s="9" t="n">
        <v>11666</v>
      </c>
      <c r="E8" s="9" t="n">
        <v>10711</v>
      </c>
      <c r="F8" s="10" t="n">
        <f aca="false">IFERROR(C8/B8-1,"")</f>
        <v>0.0278280915527747</v>
      </c>
      <c r="G8" s="10" t="n">
        <f aca="false">IFERROR(D8/C8-1,"")</f>
        <v>-0.0655238705543095</v>
      </c>
      <c r="H8" s="10" t="n">
        <f aca="false">IFERROR(E8/D8-1,"")</f>
        <v>-0.0818618206754672</v>
      </c>
      <c r="I8" s="9" t="n">
        <v>2040</v>
      </c>
      <c r="J8" s="9" t="n">
        <v>2038</v>
      </c>
      <c r="K8" s="9" t="n">
        <v>2136</v>
      </c>
      <c r="L8" s="9" t="n">
        <v>2137</v>
      </c>
      <c r="M8" s="10" t="n">
        <f aca="false">IFERROR(I8/B8,"")</f>
        <v>0.167956528898403</v>
      </c>
      <c r="N8" s="10" t="n">
        <f aca="false">IFERROR(J8/C8,"")</f>
        <v>0.163248958667094</v>
      </c>
      <c r="O8" s="10" t="n">
        <f aca="false">IFERROR(K8/D8,"")</f>
        <v>0.183096176924396</v>
      </c>
      <c r="P8" s="10" t="n">
        <f aca="false">IFERROR(L8/E8,"")</f>
        <v>0.199514517785454</v>
      </c>
      <c r="Q8" s="11" t="n">
        <v>-0.069</v>
      </c>
      <c r="R8" s="11" t="n">
        <v>0.1</v>
      </c>
      <c r="S8" s="11" t="n">
        <v>0.031</v>
      </c>
      <c r="T8" s="11" t="n">
        <v>-0.022</v>
      </c>
      <c r="U8" s="11" t="n">
        <v>0.005</v>
      </c>
      <c r="V8" s="11" t="n">
        <v>-0.017</v>
      </c>
    </row>
    <row r="9" customFormat="false" ht="15" hidden="false" customHeight="true" outlineLevel="0" collapsed="false">
      <c r="A9" s="8" t="s">
        <v>64</v>
      </c>
      <c r="B9" s="9" t="n">
        <v>7514</v>
      </c>
      <c r="C9" s="9" t="n">
        <v>8118</v>
      </c>
      <c r="D9" s="9" t="n">
        <v>8107</v>
      </c>
      <c r="E9" s="9" t="n">
        <v>8449</v>
      </c>
      <c r="F9" s="10" t="n">
        <f aca="false">IFERROR(C9/B9-1,"")</f>
        <v>0.0803832845355337</v>
      </c>
      <c r="G9" s="10" t="n">
        <f aca="false">IFERROR(D9/C9-1,"")</f>
        <v>-0.00135501355013545</v>
      </c>
      <c r="H9" s="10" t="n">
        <f aca="false">IFERROR(E9/D9-1,"")</f>
        <v>0.0421857653879363</v>
      </c>
      <c r="I9" s="9" t="n">
        <v>1205</v>
      </c>
      <c r="J9" s="9" t="n">
        <v>1364</v>
      </c>
      <c r="K9" s="9" t="n">
        <v>1364</v>
      </c>
      <c r="L9" s="9" t="n">
        <v>1299</v>
      </c>
      <c r="M9" s="10" t="n">
        <f aca="false">IFERROR(I9/B9,"")</f>
        <v>0.160367314346553</v>
      </c>
      <c r="N9" s="10" t="n">
        <f aca="false">IFERROR(J9/C9,"")</f>
        <v>0.168021680216802</v>
      </c>
      <c r="O9" s="10" t="n">
        <f aca="false">IFERROR(K9/D9,"")</f>
        <v>0.168249660786974</v>
      </c>
      <c r="P9" s="10" t="n">
        <f aca="false">IFERROR(L9/E9,"")</f>
        <v>0.153746005444431</v>
      </c>
      <c r="Q9" s="11" t="n">
        <v>0.048</v>
      </c>
      <c r="R9" s="11" t="n">
        <v>0.047</v>
      </c>
      <c r="S9" s="11" t="n">
        <v>0.094</v>
      </c>
      <c r="T9" s="11" t="n">
        <v>-0.002</v>
      </c>
      <c r="U9" s="11" t="n">
        <v>0.064</v>
      </c>
      <c r="V9" s="11" t="n">
        <v>0.062</v>
      </c>
    </row>
    <row r="10" customFormat="false" ht="15" hidden="false" customHeight="true" outlineLevel="0" collapsed="false">
      <c r="A10" s="8" t="s">
        <v>65</v>
      </c>
      <c r="B10" s="9" t="n">
        <v>15556</v>
      </c>
      <c r="C10" s="9" t="n">
        <v>18101</v>
      </c>
      <c r="D10" s="9" t="n">
        <v>18860</v>
      </c>
      <c r="E10" s="9" t="n">
        <v>18882</v>
      </c>
      <c r="F10" s="10" t="n">
        <f aca="false">IFERROR(C10/B10-1,"")</f>
        <v>0.1636024685009</v>
      </c>
      <c r="G10" s="10" t="n">
        <f aca="false">IFERROR(D10/C10-1,"")</f>
        <v>0.0419313850063532</v>
      </c>
      <c r="H10" s="10" t="n">
        <f aca="false">IFERROR(E10/D10-1,"")</f>
        <v>0.00116648992576884</v>
      </c>
      <c r="I10" s="9" t="n">
        <v>3282</v>
      </c>
      <c r="J10" s="9" t="n">
        <v>3706</v>
      </c>
      <c r="K10" s="9" t="n">
        <v>3912</v>
      </c>
      <c r="L10" s="9" t="n">
        <v>4087</v>
      </c>
      <c r="M10" s="10" t="n">
        <f aca="false">IFERROR(I10/B10,"")</f>
        <v>0.210979686294677</v>
      </c>
      <c r="N10" s="10" t="n">
        <f aca="false">IFERROR(J10/C10,"")</f>
        <v>0.204740069609414</v>
      </c>
      <c r="O10" s="10" t="n">
        <f aca="false">IFERROR(K10/D10,"")</f>
        <v>0.207423117709438</v>
      </c>
      <c r="P10" s="10" t="n">
        <f aca="false">IFERROR(L10/E10,"")</f>
        <v>0.216449528651626</v>
      </c>
      <c r="Q10" s="11" t="n">
        <v>0.043</v>
      </c>
      <c r="R10" s="11" t="n">
        <v>0.102</v>
      </c>
      <c r="S10" s="11" t="n">
        <v>0.145</v>
      </c>
      <c r="T10" s="11" t="n">
        <v>0.021</v>
      </c>
      <c r="U10" s="11" t="n">
        <v>0.006</v>
      </c>
      <c r="V10" s="11" t="n">
        <v>0.027</v>
      </c>
    </row>
    <row r="11" customFormat="false" ht="15" hidden="false" customHeight="true" outlineLevel="0" collapsed="false">
      <c r="A11" s="12" t="s">
        <v>54</v>
      </c>
      <c r="B11" s="13" t="n">
        <f aca="false">SUM(B4:B10)</f>
        <v>87088</v>
      </c>
      <c r="C11" s="13" t="n">
        <f aca="false">SUM(C4:C10)</f>
        <v>94424</v>
      </c>
      <c r="D11" s="13" t="n">
        <f aca="false">SUM(D4:D10)</f>
        <v>92998</v>
      </c>
      <c r="E11" s="13" t="n">
        <f aca="false">SUM(E4:E10)</f>
        <v>91354</v>
      </c>
      <c r="F11" s="14" t="n">
        <f aca="false">IFERROR(C11/B11-1,"")</f>
        <v>0.0842366342090759</v>
      </c>
      <c r="G11" s="14" t="n">
        <f aca="false">IFERROR(D11/C11-1,"")</f>
        <v>-0.0151020926882995</v>
      </c>
      <c r="H11" s="14" t="n">
        <f aca="false">IFERROR(E11/D11-1,"")</f>
        <v>-0.0176777995225704</v>
      </c>
      <c r="I11" s="15" t="n">
        <v>15119</v>
      </c>
      <c r="J11" s="15" t="n">
        <v>16103</v>
      </c>
      <c r="K11" s="15" t="n">
        <v>16053</v>
      </c>
      <c r="L11" s="15" t="n">
        <v>15704</v>
      </c>
      <c r="M11" s="14" t="n">
        <f aca="false">IFERROR(I11/B11,"")</f>
        <v>0.173606007716333</v>
      </c>
      <c r="N11" s="14" t="n">
        <f aca="false">IFERROR(J11/C11,"")</f>
        <v>0.170539269677201</v>
      </c>
      <c r="O11" s="14" t="n">
        <f aca="false">IFERROR(K11/D11,"")</f>
        <v>0.172616615411084</v>
      </c>
      <c r="P11" s="14" t="n">
        <f aca="false">IFERROR(L11/E11,"")</f>
        <v>0.171902708146332</v>
      </c>
      <c r="Q11" s="19"/>
      <c r="R11" s="19"/>
      <c r="S11" s="19"/>
      <c r="T11" s="19"/>
      <c r="U11" s="19"/>
      <c r="V11" s="19"/>
    </row>
    <row r="13" customFormat="false" ht="15" hidden="false" customHeight="true" outlineLevel="0" collapsed="false">
      <c r="A13" s="17" t="s">
        <v>66</v>
      </c>
      <c r="B13" s="17"/>
      <c r="C13" s="17"/>
      <c r="D13" s="17"/>
      <c r="E13" s="17"/>
      <c r="F13" s="17"/>
      <c r="G13" s="17"/>
      <c r="H13" s="17"/>
      <c r="I13" s="17"/>
      <c r="J13" s="17"/>
    </row>
    <row r="14" customFormat="false" ht="27.75" hidden="false" customHeight="true" outlineLevel="0" collapsed="false">
      <c r="A14" s="18" t="s">
        <v>67</v>
      </c>
      <c r="B14" s="18"/>
      <c r="C14" s="18"/>
      <c r="D14" s="18"/>
      <c r="E14" s="18"/>
      <c r="F14" s="18"/>
      <c r="G14" s="18"/>
      <c r="H14" s="18"/>
      <c r="I14" s="18"/>
      <c r="J14" s="18"/>
      <c r="K14" s="18"/>
      <c r="L14" s="18"/>
      <c r="M14" s="18"/>
      <c r="N14" s="18"/>
    </row>
  </sheetData>
  <mergeCells count="3">
    <mergeCell ref="A1:V1"/>
    <mergeCell ref="A13:J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2"/>
    <col collapsed="false" customWidth="true" hidden="false" outlineLevel="0" max="14" min="2" style="0" width="15"/>
  </cols>
  <sheetData>
    <row r="1" customFormat="false" ht="17.25" hidden="false" customHeight="true" outlineLevel="0" collapsed="false">
      <c r="A1" s="6" t="s">
        <v>68</v>
      </c>
      <c r="B1" s="6"/>
      <c r="C1" s="6"/>
      <c r="D1" s="6"/>
      <c r="E1" s="6"/>
      <c r="F1" s="6"/>
      <c r="G1" s="6"/>
      <c r="H1" s="6"/>
      <c r="I1" s="6"/>
      <c r="J1" s="6"/>
      <c r="K1" s="6"/>
      <c r="L1" s="6"/>
      <c r="M1" s="6"/>
      <c r="N1" s="6"/>
    </row>
    <row r="2" customFormat="false" ht="15" hidden="false" customHeight="true" outlineLevel="0" collapsed="false">
      <c r="A2" s="17" t="s">
        <v>69</v>
      </c>
      <c r="B2" s="17"/>
      <c r="C2" s="17"/>
      <c r="D2" s="17"/>
      <c r="E2" s="17"/>
      <c r="F2" s="17"/>
      <c r="G2" s="17"/>
      <c r="H2" s="17"/>
      <c r="I2" s="17"/>
      <c r="J2" s="17"/>
      <c r="K2" s="17"/>
      <c r="L2" s="17"/>
      <c r="M2" s="17"/>
      <c r="N2" s="17"/>
    </row>
    <row r="4" customFormat="false" ht="45" hidden="false" customHeight="true" outlineLevel="0" collapsed="false">
      <c r="A4" s="7" t="s">
        <v>20</v>
      </c>
      <c r="B4" s="7" t="s">
        <v>70</v>
      </c>
      <c r="C4" s="7" t="s">
        <v>23</v>
      </c>
      <c r="D4" s="7" t="s">
        <v>71</v>
      </c>
      <c r="E4" s="7" t="s">
        <v>72</v>
      </c>
      <c r="F4" s="7" t="s">
        <v>24</v>
      </c>
      <c r="G4" s="7" t="s">
        <v>73</v>
      </c>
      <c r="H4" s="7" t="s">
        <v>74</v>
      </c>
      <c r="I4" s="7" t="s">
        <v>30</v>
      </c>
      <c r="J4" s="7" t="s">
        <v>75</v>
      </c>
      <c r="K4" s="7" t="s">
        <v>76</v>
      </c>
      <c r="L4" s="7" t="s">
        <v>31</v>
      </c>
      <c r="M4" s="7" t="s">
        <v>77</v>
      </c>
      <c r="N4" s="7" t="s">
        <v>78</v>
      </c>
    </row>
    <row r="5" customFormat="false" ht="15" hidden="false" customHeight="true" outlineLevel="0" collapsed="false">
      <c r="A5" s="8" t="s">
        <v>46</v>
      </c>
      <c r="B5" s="9" t="n">
        <v>12553</v>
      </c>
      <c r="C5" s="20" t="n">
        <f aca="false">Segment_Data!D4</f>
        <v>25995</v>
      </c>
      <c r="D5" s="21" t="n">
        <f aca="false">C5-B5</f>
        <v>13442</v>
      </c>
      <c r="E5" s="9" t="n">
        <v>12234</v>
      </c>
      <c r="F5" s="20" t="n">
        <f aca="false">Segment_Data!E4</f>
        <v>25336</v>
      </c>
      <c r="G5" s="21" t="n">
        <f aca="false">F5-E5</f>
        <v>13102</v>
      </c>
      <c r="H5" s="9" t="n">
        <v>2713</v>
      </c>
      <c r="I5" s="20" t="n">
        <f aca="false">Segment_Data!K4</f>
        <v>5768</v>
      </c>
      <c r="J5" s="21" t="n">
        <f aca="false">I5-H5</f>
        <v>3055</v>
      </c>
      <c r="K5" s="9" t="n">
        <v>2662</v>
      </c>
      <c r="L5" s="20" t="n">
        <f aca="false">Segment_Data!L4</f>
        <v>5640</v>
      </c>
      <c r="M5" s="21" t="n">
        <f aca="false">L5-K5</f>
        <v>2978</v>
      </c>
      <c r="N5" s="10" t="n">
        <f aca="false">IFERROR(G5/D5-1,"")</f>
        <v>-0.0252938550810892</v>
      </c>
    </row>
    <row r="6" customFormat="false" ht="15" hidden="false" customHeight="true" outlineLevel="0" collapsed="false">
      <c r="A6" s="8" t="s">
        <v>47</v>
      </c>
      <c r="B6" s="9" t="n">
        <v>9467</v>
      </c>
      <c r="C6" s="20" t="n">
        <f aca="false">Segment_Data!D5</f>
        <v>19098</v>
      </c>
      <c r="D6" s="21" t="n">
        <f aca="false">C6-B6</f>
        <v>9631</v>
      </c>
      <c r="E6" s="9" t="n">
        <v>9283</v>
      </c>
      <c r="F6" s="20" t="n">
        <f aca="false">Segment_Data!E5</f>
        <v>18910</v>
      </c>
      <c r="G6" s="21" t="n">
        <f aca="false">F6-E6</f>
        <v>9627</v>
      </c>
      <c r="H6" s="9" t="n">
        <v>1570</v>
      </c>
      <c r="I6" s="20" t="n">
        <f aca="false">Segment_Data!K5</f>
        <v>3127</v>
      </c>
      <c r="J6" s="21" t="n">
        <f aca="false">I6-H6</f>
        <v>1557</v>
      </c>
      <c r="K6" s="9" t="n">
        <v>1644</v>
      </c>
      <c r="L6" s="20" t="n">
        <f aca="false">Segment_Data!L5</f>
        <v>3192</v>
      </c>
      <c r="M6" s="21" t="n">
        <f aca="false">L6-K6</f>
        <v>1548</v>
      </c>
      <c r="N6" s="10" t="n">
        <f aca="false">IFERROR(G6/D6-1,"")</f>
        <v>-0.00041532551136958</v>
      </c>
    </row>
    <row r="7" customFormat="false" ht="15" hidden="false" customHeight="true" outlineLevel="0" collapsed="false">
      <c r="A7" s="8" t="s">
        <v>48</v>
      </c>
      <c r="B7" s="9" t="n">
        <v>9060</v>
      </c>
      <c r="C7" s="20" t="n">
        <f aca="false">Segment_Data!D6</f>
        <v>17519</v>
      </c>
      <c r="D7" s="21" t="n">
        <f aca="false">C7-B7</f>
        <v>8459</v>
      </c>
      <c r="E7" s="9" t="n">
        <v>8441</v>
      </c>
      <c r="F7" s="20" t="n">
        <f aca="false">Segment_Data!E6</f>
        <v>16793</v>
      </c>
      <c r="G7" s="21" t="n">
        <f aca="false">F7-E7</f>
        <v>8352</v>
      </c>
      <c r="H7" s="9" t="n">
        <v>2068</v>
      </c>
      <c r="I7" s="20" t="n">
        <f aca="false">Segment_Data!K6</f>
        <v>4109</v>
      </c>
      <c r="J7" s="21" t="n">
        <f aca="false">I7-H7</f>
        <v>2041</v>
      </c>
      <c r="K7" s="9" t="n">
        <v>2006</v>
      </c>
      <c r="L7" s="20" t="n">
        <f aca="false">Segment_Data!L6</f>
        <v>3916</v>
      </c>
      <c r="M7" s="21" t="n">
        <f aca="false">L7-K7</f>
        <v>1910</v>
      </c>
      <c r="N7" s="10" t="n">
        <f aca="false">IFERROR(G7/D7-1,"")</f>
        <v>-0.0126492493202506</v>
      </c>
    </row>
    <row r="8" customFormat="false" ht="15" hidden="false" customHeight="true" outlineLevel="0" collapsed="false">
      <c r="A8" s="8" t="s">
        <v>49</v>
      </c>
      <c r="B8" s="9" t="n">
        <v>6082</v>
      </c>
      <c r="C8" s="20" t="n">
        <f aca="false">Segment_Data!D7</f>
        <v>12196</v>
      </c>
      <c r="D8" s="21" t="n">
        <f aca="false">C8-B8</f>
        <v>6114</v>
      </c>
      <c r="E8" s="9" t="n">
        <v>6166</v>
      </c>
      <c r="F8" s="20" t="n">
        <f aca="false">Segment_Data!E7</f>
        <v>11933</v>
      </c>
      <c r="G8" s="21" t="n">
        <f aca="false">F8-E8</f>
        <v>5767</v>
      </c>
      <c r="H8" s="9" t="n">
        <v>1202</v>
      </c>
      <c r="I8" s="20" t="n">
        <f aca="false">Segment_Data!K7</f>
        <v>2520</v>
      </c>
      <c r="J8" s="21" t="n">
        <f aca="false">I8-H8</f>
        <v>1318</v>
      </c>
      <c r="K8" s="9" t="n">
        <v>1219</v>
      </c>
      <c r="L8" s="20" t="n">
        <f aca="false">Segment_Data!L7</f>
        <v>2429</v>
      </c>
      <c r="M8" s="21" t="n">
        <f aca="false">L8-K8</f>
        <v>1210</v>
      </c>
      <c r="N8" s="10" t="n">
        <f aca="false">IFERROR(G8/D8-1,"")</f>
        <v>-0.0567549885508669</v>
      </c>
    </row>
    <row r="9" customFormat="false" ht="15" hidden="false" customHeight="true" outlineLevel="0" collapsed="false">
      <c r="A9" s="8" t="s">
        <v>50</v>
      </c>
      <c r="B9" s="9" t="n">
        <v>2548</v>
      </c>
      <c r="C9" s="20" t="n">
        <f aca="false">Segment_Data!D8</f>
        <v>5037</v>
      </c>
      <c r="D9" s="21" t="n">
        <f aca="false">C9-B9</f>
        <v>2489</v>
      </c>
      <c r="E9" s="9" t="n">
        <v>2440</v>
      </c>
      <c r="F9" s="20" t="n">
        <f aca="false">Segment_Data!E8</f>
        <v>4973</v>
      </c>
      <c r="G9" s="21" t="n">
        <f aca="false">F9-E9</f>
        <v>2533</v>
      </c>
      <c r="H9" s="9" t="n">
        <v>422</v>
      </c>
      <c r="I9" s="20" t="n">
        <f aca="false">Segment_Data!K8</f>
        <v>832</v>
      </c>
      <c r="J9" s="21" t="n">
        <f aca="false">I9-H9</f>
        <v>410</v>
      </c>
      <c r="K9" s="9" t="n">
        <v>386</v>
      </c>
      <c r="L9" s="20" t="n">
        <f aca="false">Segment_Data!L8</f>
        <v>803</v>
      </c>
      <c r="M9" s="21" t="n">
        <f aca="false">L9-K9</f>
        <v>417</v>
      </c>
      <c r="N9" s="10" t="n">
        <f aca="false">IFERROR(G9/D9-1,"")</f>
        <v>0.0176777822418641</v>
      </c>
    </row>
    <row r="10" customFormat="false" ht="15" hidden="false" customHeight="true" outlineLevel="0" collapsed="false">
      <c r="A10" s="8" t="s">
        <v>51</v>
      </c>
      <c r="B10" s="9" t="n">
        <v>3318</v>
      </c>
      <c r="C10" s="20" t="n">
        <f aca="false">Segment_Data!D9</f>
        <v>6498</v>
      </c>
      <c r="D10" s="21" t="n">
        <f aca="false">C10-B10</f>
        <v>3180</v>
      </c>
      <c r="E10" s="9" t="n">
        <v>3239</v>
      </c>
      <c r="F10" s="20" t="n">
        <f aca="false">Segment_Data!E9</f>
        <v>6739</v>
      </c>
      <c r="G10" s="21" t="n">
        <f aca="false">F10-E10</f>
        <v>3500</v>
      </c>
      <c r="H10" s="9" t="n">
        <v>432</v>
      </c>
      <c r="I10" s="20" t="n">
        <f aca="false">Segment_Data!K9</f>
        <v>777</v>
      </c>
      <c r="J10" s="21" t="n">
        <f aca="false">I10-H10</f>
        <v>345</v>
      </c>
      <c r="K10" s="9" t="n">
        <v>433</v>
      </c>
      <c r="L10" s="20" t="n">
        <f aca="false">Segment_Data!L9</f>
        <v>943</v>
      </c>
      <c r="M10" s="21" t="n">
        <f aca="false">L10-K10</f>
        <v>510</v>
      </c>
      <c r="N10" s="10" t="n">
        <f aca="false">IFERROR(G10/D10-1,"")</f>
        <v>0.10062893081761</v>
      </c>
    </row>
    <row r="11" customFormat="false" ht="15" hidden="false" customHeight="true" outlineLevel="0" collapsed="false">
      <c r="A11" s="8" t="s">
        <v>52</v>
      </c>
      <c r="B11" s="9" t="n">
        <v>3128</v>
      </c>
      <c r="C11" s="20" t="n">
        <f aca="false">Segment_Data!D10</f>
        <v>6372</v>
      </c>
      <c r="D11" s="21" t="n">
        <f aca="false">C11-B11</f>
        <v>3244</v>
      </c>
      <c r="E11" s="9" t="n">
        <v>3096</v>
      </c>
      <c r="F11" s="20" t="n">
        <f aca="false">Segment_Data!E10</f>
        <v>6378</v>
      </c>
      <c r="G11" s="21" t="n">
        <f aca="false">F11-E11</f>
        <v>3282</v>
      </c>
      <c r="H11" s="9" t="n">
        <v>678</v>
      </c>
      <c r="I11" s="20" t="n">
        <f aca="false">Segment_Data!K10</f>
        <v>1291</v>
      </c>
      <c r="J11" s="21" t="n">
        <f aca="false">I11-H11</f>
        <v>613</v>
      </c>
      <c r="K11" s="9" t="n">
        <v>667</v>
      </c>
      <c r="L11" s="20" t="n">
        <f aca="false">Segment_Data!L10</f>
        <v>1278</v>
      </c>
      <c r="M11" s="21" t="n">
        <f aca="false">L11-K11</f>
        <v>611</v>
      </c>
      <c r="N11" s="10" t="n">
        <f aca="false">IFERROR(G11/D11-1,"")</f>
        <v>0.0117139334155363</v>
      </c>
    </row>
    <row r="12" customFormat="false" ht="15" hidden="false" customHeight="true" outlineLevel="0" collapsed="false">
      <c r="A12" s="8" t="s">
        <v>53</v>
      </c>
      <c r="B12" s="9" t="n">
        <v>137</v>
      </c>
      <c r="C12" s="20" t="n">
        <f aca="false">Segment_Data!D11</f>
        <v>283</v>
      </c>
      <c r="D12" s="21" t="n">
        <f aca="false">C12-B12</f>
        <v>146</v>
      </c>
      <c r="E12" s="9" t="n">
        <v>146</v>
      </c>
      <c r="F12" s="20" t="n">
        <f aca="false">Segment_Data!E11</f>
        <v>292</v>
      </c>
      <c r="G12" s="21" t="n">
        <f aca="false">F12-E12</f>
        <v>146</v>
      </c>
      <c r="H12" s="9" t="n">
        <v>-17</v>
      </c>
      <c r="I12" s="20" t="n">
        <f aca="false">Segment_Data!K11</f>
        <v>-12</v>
      </c>
      <c r="J12" s="21" t="n">
        <f aca="false">I12-H12</f>
        <v>5</v>
      </c>
      <c r="K12" s="9" t="n">
        <v>-5</v>
      </c>
      <c r="L12" s="20" t="n">
        <f aca="false">Segment_Data!L11</f>
        <v>-13</v>
      </c>
      <c r="M12" s="21" t="n">
        <f aca="false">L12-K12</f>
        <v>-8</v>
      </c>
      <c r="N12" s="10" t="n">
        <f aca="false">IFERROR(G12/D12-1,"")</f>
        <v>0</v>
      </c>
    </row>
    <row r="13" customFormat="false" ht="15" hidden="false" customHeight="true" outlineLevel="0" collapsed="false">
      <c r="A13" s="12" t="s">
        <v>54</v>
      </c>
      <c r="B13" s="13" t="n">
        <f aca="false">SUM(B5:B12)</f>
        <v>46293</v>
      </c>
      <c r="C13" s="13" t="n">
        <f aca="false">SUM(C5:C12)</f>
        <v>92998</v>
      </c>
      <c r="D13" s="13" t="n">
        <f aca="false">SUM(D5:D12)</f>
        <v>46705</v>
      </c>
      <c r="E13" s="13" t="n">
        <f aca="false">SUM(E5:E12)</f>
        <v>45045</v>
      </c>
      <c r="F13" s="13" t="n">
        <f aca="false">SUM(F5:F12)</f>
        <v>91354</v>
      </c>
      <c r="G13" s="13" t="n">
        <f aca="false">SUM(G5:G12)</f>
        <v>46309</v>
      </c>
      <c r="H13" s="15" t="n">
        <v>3798</v>
      </c>
      <c r="I13" s="22" t="n">
        <f aca="false">Segment_Data!K12</f>
        <v>16053</v>
      </c>
      <c r="J13" s="13" t="n">
        <f aca="false">I13-H13</f>
        <v>12255</v>
      </c>
      <c r="K13" s="15" t="n">
        <v>7841</v>
      </c>
      <c r="L13" s="22" t="n">
        <f aca="false">Segment_Data!L12</f>
        <v>15704</v>
      </c>
      <c r="M13" s="13" t="n">
        <f aca="false">L13-K13</f>
        <v>7863</v>
      </c>
      <c r="N13" s="14" t="n">
        <f aca="false">IFERROR(G13/D13-1,"")</f>
        <v>-0.008478749598544</v>
      </c>
    </row>
    <row r="15" customFormat="false" ht="27.75" hidden="false" customHeight="true" outlineLevel="0" collapsed="false">
      <c r="A15" s="18" t="s">
        <v>79</v>
      </c>
      <c r="B15" s="18"/>
      <c r="C15" s="18"/>
      <c r="D15" s="18"/>
      <c r="E15" s="18"/>
      <c r="F15" s="18"/>
      <c r="G15" s="18"/>
      <c r="H15" s="18"/>
      <c r="I15" s="18"/>
      <c r="J15" s="18"/>
      <c r="K15" s="18"/>
      <c r="L15" s="18"/>
      <c r="M15" s="18"/>
    </row>
  </sheetData>
  <mergeCells count="3">
    <mergeCell ref="A1:N1"/>
    <mergeCell ref="A2:N2"/>
    <mergeCell ref="A15:M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8" activeCellId="0" sqref="C18"/>
    </sheetView>
  </sheetViews>
  <sheetFormatPr defaultColWidth="8.71484375" defaultRowHeight="15" zeroHeight="false" outlineLevelRow="0" outlineLevelCol="0"/>
  <cols>
    <col collapsed="false" customWidth="true" hidden="false" outlineLevel="0" max="1" min="1" style="0" width="48"/>
    <col collapsed="false" customWidth="true" hidden="false" outlineLevel="0" max="5" min="2" style="0" width="14"/>
  </cols>
  <sheetData>
    <row r="1" customFormat="false" ht="15" hidden="false" customHeight="true" outlineLevel="0" collapsed="false">
      <c r="A1" s="23" t="s">
        <v>80</v>
      </c>
    </row>
    <row r="3" customFormat="false" ht="15" hidden="false" customHeight="true" outlineLevel="0" collapsed="false">
      <c r="A3" s="24" t="s">
        <v>81</v>
      </c>
      <c r="B3" s="25" t="s">
        <v>82</v>
      </c>
      <c r="C3" s="25" t="s">
        <v>83</v>
      </c>
      <c r="D3" s="25" t="s">
        <v>84</v>
      </c>
      <c r="E3" s="25" t="s">
        <v>85</v>
      </c>
    </row>
    <row r="4" customFormat="false" ht="15" hidden="false" customHeight="true" outlineLevel="0" collapsed="false">
      <c r="A4" s="0" t="s">
        <v>86</v>
      </c>
      <c r="B4" s="26" t="n">
        <f aca="false">Segment_Data!B12</f>
        <v>87088</v>
      </c>
      <c r="C4" s="26" t="n">
        <f aca="false">Segment_Data!C12</f>
        <v>94424</v>
      </c>
      <c r="D4" s="26" t="n">
        <f aca="false">Segment_Data!D12</f>
        <v>92998</v>
      </c>
      <c r="E4" s="26" t="n">
        <f aca="false">Segment_Data!E12</f>
        <v>91354</v>
      </c>
    </row>
    <row r="5" customFormat="false" ht="15" hidden="false" customHeight="true" outlineLevel="0" collapsed="false">
      <c r="A5" s="0" t="s">
        <v>87</v>
      </c>
      <c r="B5" s="26" t="n">
        <f aca="false">Segment_Data!I12</f>
        <v>15119</v>
      </c>
      <c r="C5" s="26" t="n">
        <f aca="false">Segment_Data!J12</f>
        <v>16103</v>
      </c>
      <c r="D5" s="26" t="n">
        <f aca="false">Segment_Data!K12</f>
        <v>16053</v>
      </c>
      <c r="E5" s="26" t="n">
        <f aca="false">Segment_Data!L12</f>
        <v>15704</v>
      </c>
    </row>
    <row r="6" customFormat="false" ht="15" hidden="false" customHeight="true" outlineLevel="0" collapsed="false">
      <c r="A6" s="0" t="s">
        <v>88</v>
      </c>
      <c r="B6" s="27" t="n">
        <f aca="false">IFERROR(B5/B4,"")</f>
        <v>0.173606007716333</v>
      </c>
      <c r="C6" s="27" t="n">
        <f aca="false">IFERROR(C5/C4,"")</f>
        <v>0.170539269677201</v>
      </c>
      <c r="D6" s="27" t="n">
        <f aca="false">IFERROR(D5/D4,"")</f>
        <v>0.172616615411084</v>
      </c>
      <c r="E6" s="27" t="n">
        <f aca="false">IFERROR(E5/E4,"")</f>
        <v>0.171902708146332</v>
      </c>
    </row>
    <row r="7" customFormat="false" ht="15" hidden="false" customHeight="true" outlineLevel="0" collapsed="false">
      <c r="A7" s="0" t="s">
        <v>89</v>
      </c>
      <c r="B7" s="28" t="n">
        <v>840</v>
      </c>
      <c r="C7" s="28" t="n">
        <v>1000</v>
      </c>
      <c r="D7" s="28" t="n">
        <v>1400</v>
      </c>
      <c r="E7" s="28" t="n">
        <v>1500</v>
      </c>
    </row>
    <row r="8" customFormat="false" ht="15" hidden="false" customHeight="true" outlineLevel="0" collapsed="false">
      <c r="A8" s="0" t="s">
        <v>90</v>
      </c>
      <c r="B8" s="29" t="n">
        <f aca="false">B5-B7</f>
        <v>14279</v>
      </c>
      <c r="C8" s="29" t="n">
        <f aca="false">C5-C7</f>
        <v>15103</v>
      </c>
      <c r="D8" s="29" t="n">
        <f aca="false">D5-D7</f>
        <v>14653</v>
      </c>
      <c r="E8" s="29" t="n">
        <f aca="false">E5-E7</f>
        <v>14204</v>
      </c>
    </row>
    <row r="9" customFormat="false" ht="15" hidden="false" customHeight="true" outlineLevel="0" collapsed="false">
      <c r="A9" s="0" t="s">
        <v>91</v>
      </c>
      <c r="B9" s="30" t="n">
        <v>0.209</v>
      </c>
      <c r="C9" s="30" t="n">
        <v>0.242</v>
      </c>
      <c r="D9" s="30" t="n">
        <v>0.182</v>
      </c>
      <c r="E9" s="30" t="n">
        <v>0.25</v>
      </c>
    </row>
    <row r="10" customFormat="false" ht="15" hidden="false" customHeight="true" outlineLevel="0" collapsed="false">
      <c r="A10" s="0" t="s">
        <v>92</v>
      </c>
      <c r="B10" s="29" t="n">
        <f aca="false">B8*B9</f>
        <v>2984.311</v>
      </c>
      <c r="C10" s="29" t="n">
        <f aca="false">C8*C9</f>
        <v>3654.926</v>
      </c>
      <c r="D10" s="29" t="n">
        <f aca="false">D8*D9</f>
        <v>2666.846</v>
      </c>
      <c r="E10" s="29" t="n">
        <f aca="false">E8*E9</f>
        <v>3551</v>
      </c>
    </row>
    <row r="11" customFormat="false" ht="15" hidden="false" customHeight="true" outlineLevel="0" collapsed="false">
      <c r="A11" s="0" t="s">
        <v>93</v>
      </c>
      <c r="B11" s="28" t="n">
        <v>16900</v>
      </c>
      <c r="C11" s="28" t="n">
        <v>9300</v>
      </c>
      <c r="D11" s="28" t="n">
        <v>11209</v>
      </c>
      <c r="E11" s="28" t="n">
        <v>10884</v>
      </c>
    </row>
    <row r="12" customFormat="false" ht="15" hidden="false" customHeight="true" outlineLevel="0" collapsed="false">
      <c r="A12" s="0" t="s">
        <v>94</v>
      </c>
      <c r="B12" s="27" t="n">
        <f aca="false">IFERROR(B11/B4,"")</f>
        <v>0.194056586441301</v>
      </c>
      <c r="C12" s="27" t="n">
        <f aca="false">IFERROR(C11/C4,"")</f>
        <v>0.0984919088367364</v>
      </c>
      <c r="D12" s="27" t="n">
        <f aca="false">IFERROR(D11/D4,"")</f>
        <v>0.120529473752124</v>
      </c>
      <c r="E12" s="27" t="n">
        <f aca="false">IFERROR(E11/E4,"")</f>
        <v>0.119140924316396</v>
      </c>
    </row>
    <row r="13" customFormat="false" ht="15" hidden="false" customHeight="true" outlineLevel="0" collapsed="false">
      <c r="A13" s="0" t="s">
        <v>95</v>
      </c>
      <c r="B13" s="31" t="n">
        <v>6.06</v>
      </c>
      <c r="C13" s="31" t="n">
        <v>3.42</v>
      </c>
      <c r="D13" s="31" t="n">
        <v>4.24</v>
      </c>
      <c r="E13" s="31" t="n">
        <v>4.19</v>
      </c>
    </row>
    <row r="15" customFormat="false" ht="15" hidden="false" customHeight="true" outlineLevel="0" collapsed="false">
      <c r="A15" s="0" t="s">
        <v>96</v>
      </c>
      <c r="B15" s="28" t="n">
        <v>16600</v>
      </c>
      <c r="C15" s="29" t="s">
        <v>97</v>
      </c>
      <c r="D15" s="28" t="n">
        <v>19200</v>
      </c>
      <c r="E15" s="28" t="n">
        <v>19600</v>
      </c>
    </row>
    <row r="16" customFormat="false" ht="15" hidden="false" customHeight="true" outlineLevel="0" collapsed="false">
      <c r="A16" s="0" t="s">
        <v>98</v>
      </c>
      <c r="B16" s="28" t="n">
        <v>8700</v>
      </c>
      <c r="C16" s="28" t="n">
        <v>6600</v>
      </c>
      <c r="D16" s="28" t="n">
        <v>10403</v>
      </c>
      <c r="E16" s="28" t="n">
        <v>10666</v>
      </c>
    </row>
    <row r="17" customFormat="false" ht="15" hidden="false" customHeight="true" outlineLevel="0" collapsed="false">
      <c r="A17" s="0" t="s">
        <v>99</v>
      </c>
      <c r="B17" s="27" t="n">
        <f aca="false">IFERROR(B16/B4,"")</f>
        <v>0.0998989527833915</v>
      </c>
      <c r="C17" s="27" t="n">
        <f aca="false">IFERROR(C16/C4,"")</f>
        <v>0.0698974836905871</v>
      </c>
      <c r="D17" s="27" t="n">
        <f aca="false">IFERROR(D16/D4,"")</f>
        <v>0.11186262070152</v>
      </c>
      <c r="E17" s="27" t="n">
        <f aca="false">IFERROR(E16/E4,"")</f>
        <v>0.11675460297305</v>
      </c>
    </row>
    <row r="18" customFormat="false" ht="15" hidden="false" customHeight="true" outlineLevel="0" collapsed="false">
      <c r="A18" s="0" t="s">
        <v>100</v>
      </c>
      <c r="B18" s="29" t="n">
        <f aca="false">B15-B16</f>
        <v>7900</v>
      </c>
      <c r="C18" s="32" t="s">
        <v>97</v>
      </c>
      <c r="D18" s="29" t="n">
        <f aca="false">D15-D16</f>
        <v>8797</v>
      </c>
      <c r="E18" s="29" t="n">
        <f aca="false">E15-E16</f>
        <v>8934</v>
      </c>
    </row>
    <row r="20" customFormat="false" ht="15" hidden="false" customHeight="true" outlineLevel="0" collapsed="false">
      <c r="A20" s="0" t="s">
        <v>101</v>
      </c>
      <c r="B20" s="28" t="n">
        <v>32900</v>
      </c>
      <c r="C20" s="28" t="n">
        <v>48200</v>
      </c>
      <c r="D20" s="28" t="n">
        <v>49600</v>
      </c>
      <c r="E20" s="28" t="n">
        <v>56000</v>
      </c>
    </row>
    <row r="22" customFormat="false" ht="15" hidden="false" customHeight="true" outlineLevel="0" collapsed="false">
      <c r="A22" s="33" t="s">
        <v>102</v>
      </c>
    </row>
    <row r="23" customFormat="false" ht="15" hidden="false" customHeight="true" outlineLevel="0" collapsed="false">
      <c r="A23" s="33" t="s">
        <v>103</v>
      </c>
    </row>
    <row r="24" customFormat="false" ht="15" hidden="false" customHeight="true" outlineLevel="0" collapsed="false">
      <c r="A24" s="33" t="s">
        <v>104</v>
      </c>
    </row>
    <row r="25" customFormat="false" ht="15" hidden="false" customHeight="true" outlineLevel="0" collapsed="false">
      <c r="A25" s="33"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2026-09-26T18:18:35Z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