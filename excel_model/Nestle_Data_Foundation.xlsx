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README" sheetId="1" state="visible" r:id="rId3"/>
    <sheet name="Segment_Data" sheetId="2" state="visible" r:id="rId4"/>
    <sheet name="Category_Data" sheetId="3" state="visible" r:id="rId5"/>
    <sheet name="H1_2024_Phasing" sheetId="4" state="visible" r:id="rId6"/>
    <sheet name="Income_Statement" sheetId="5" state="visible" r:id="rId7"/>
    <sheet name="Cash_Flow_Statement" sheetId="6" state="visible" r:id="rId8"/>
    <sheet name="Assumptions_FY2025" sheetId="7" state="visible" r:id="rId9"/>
    <sheet name="Budget_FY2025_PL_CF"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<sst xmlns="http://schemas.openxmlformats.org/spreadsheetml/2006/main" count="376" uniqueCount="281">
  <si>
    <t xml:space="preserve">Nestlé FP&amp;A Case Study — Data Foundation</t>
  </si>
  <si>
    <t xml:space="preserve">Purpose</t>
  </si>
  <si>
    <t xml:space="preserve">This workbook is Step 1 (Data Foundation) of an end-to-end FP&amp;A portfolio project. It compiles Nestlé's real, publicly disclosed segment and product-category financials (FY2021–FY2024, plus H1-2024 phasing) into a clean structure that Steps 2–6 (Budget Model, Actuals, Variance Analysis, Dashboard, Business Case) will build on.</t>
  </si>
  <si>
    <t xml:space="preserve">Sheets in this workbook</t>
  </si>
  <si>
    <t xml:space="preserve">• Segment_Data — Sales &amp; Underlying Trading Operating Profit (UTOP) by reporting segment (5 geographic Zones + Nespresso + Nestlé Health Science + Other Businesses), FY2021–FY2024, with the organic growth bridge (RIG / Pricing / Net M&amp;A / FX) for FY2022 and FY2024.</t>
  </si>
  <si>
    <t xml:space="preserve">• Category_Data — Sales &amp; UTOP by product category (7 categories: Powdered &amp; liquid beverages, Water, Milk products &amp; ice cream, Nutrition &amp; Health Science, Prepared dishes &amp; cooking aids, Confectionery, PetCare), FY2021–FY2024.</t>
  </si>
  <si>
    <t xml:space="preserve">• H1_2024_Phasing — Half-year split of segment sales &amp; UTOP for 2023 and 2024 (H1 actual, H2 derived as FY minus H1) — the base for building monthly/quarterly phasing in the Budget Model step.</t>
  </si>
  <si>
    <t xml:space="preserve">• Income_Statement — Full consolidated Income Statement, line by line (Sales, Other revenue, COGS, Distribution expenses, Marketing &amp; admin expenses, R&amp;D costs, Other trading/operating income &amp; expenses, Financial income/expense, Income from associates &amp; JVs, Taxes, NCI), FY2021–FY2024, with every subtotal (UTOP, Trading Operating Profit, Operating Profit, PBT, Profit for the Year, Net Profit) computed by formula from the disclosed line items above it — never hardcoded.</t>
  </si>
  <si>
    <t xml:space="preserve">• Cash_Flow_Statement — Full consolidated Statement of Cash Flows, line by line across Operating, Investing and Financing activities plus the cash reconciliation and a Free Cash Flow memo, FY2021–FY2024, with every subtotal (Cash Generated from Operations, Operating/Investing/Financing Cash Flow) computed by formula.</t>
  </si>
  <si>
    <t xml:space="preserve">• Assumptions_FY2025 — ~40 line-item FY2025 budget drivers covering the full Income Statement and Cash Flow Statement (organic growth, FX, cost ratios, other trading/operating items, financial income/expense, associates income, tax rate, NCI, D&amp;A, impairment, working capital, capex, investing and financing lines), each cited to Nestlé's own FY2025 guidance where available, or flagged as an explicit own-assumption with rationale where not. Yellow cells are the editable levers.</t>
  </si>
  <si>
    <t xml:space="preserve">• Budget_FY2025_PL_CF — Full-detail FY2025 Budget vs FY2024 Actual, built at the same line-item level as Income_Statement and Cash_Flow_Statement (not a simplified bridge), fully driven by Assumptions_FY2025. Built from guidance disclosed BEFORE FY2025 actual results were known — sets up Step 3 (Variance Analysis) of this project.</t>
  </si>
  <si>
    <t xml:space="preserve">Data sources</t>
  </si>
  <si>
    <t xml:space="preserve">• Nestlé Full-Year Results 2024 press release (13 Feb 2025) — FY2024 vs FY2023 segment &amp; category data — https://www.nestle.com/sites/default/files/2025-02/full-year-results-press-release-2024-en.pdf</t>
  </si>
  <si>
    <t xml:space="preserve">• Nestlé Full-Year Results 2022 press release (16 Feb 2023) — FY2022 vs FY2021 (restated) segment &amp; category data — https://www.nestle.com/sites/default/files/2023-02/2022-full-year-results-press-release-en.pdf</t>
  </si>
  <si>
    <t xml:space="preserve">• Nestlé Half-Year Results 2024 press release (25 Jul 2024) — H1-2024 vs H1-2023 segment &amp; category data — https://www.nestle.com/media/pressreleases/allpressreleases/half-year-results-2024</t>
  </si>
  <si>
    <t xml:space="preserve">• Nestlé Full-Year Results 2021 and 2022 press releases (17 Feb 2022 / 16 Feb 2023) — Group net profit, EPS, net financial expenses, tax rate, operating cash flow, free cash flow, net debt — https://www.nestle.com/media/pressreleases/allpressreleases/full-year-results-2021 and https://www.globenewswire.com/news-release/2023/02/16/2609327/0/en/Nestl%C3%A9-reports-full-year-results-for-2022.html</t>
  </si>
  <si>
    <t xml:space="preserve">Important notes</t>
  </si>
  <si>
    <t xml:space="preserve">• Figures are as originally reported for each fiscal year (5-Zone structure: North America, Europe, AOA, Latin America, Greater China, plus Nespresso, Nestlé Health Science and Other Businesses). From 1 Jan 2025 Nestlé moved to a 3-Zone structure (Americas, Europe, AOA) with Waters &amp; Premium Beverages as a separate global business — that restructuring is NOT reflected here since it postdates FY2024 reporting.</t>
  </si>
  <si>
    <t xml:space="preserve">• FY2021 and FY2022 RIG/Pricing/Organic growth/Net M&amp;A/FX figures exclude Russia, per Nestlé's own disclosure footnote for those years.</t>
  </si>
  <si>
    <t xml:space="preserve">• "Underlying Trading Operating Profit" (UTOP) is Nestlé's key segment profitability metric — broadly comparable to a segment EBIT before restructuring and one-off items.</t>
  </si>
  <si>
    <t xml:space="preserve">• All monetary figures are in CHF million unless stated otherwise. Blue cells = hardcoded inputs sourced from the press releases above. Black cells = formulas (margins, YoY growth, H2 derivation).</t>
  </si>
  <si>
    <t xml:space="preserve">• Income_Statement / Cash_Flow_Statement sheets: sourced from Nestlé's full Financial Statements documents (not the condensed press releases used for Segment_Data/Category_Data) for full line-item detail. FY2022's 'Cash generated from operations' section reflects the "Decrease/(increase) in working capital" and "Variation of other operating assets and liabilities" lines as disclosed that year. The 'Free Cash Flow (derived)' row will not tie exactly to Nestlé's own reported FCF figure — this is flagged on the Cash_Flow_Statement sheet, not hidden.</t>
  </si>
  <si>
    <t xml:space="preserve">Nestlé — Segment Sales &amp; Profitability, FY2021–FY2024 (CHF m unless %)</t>
  </si>
  <si>
    <t xml:space="preserve">Segment</t>
  </si>
  <si>
    <t xml:space="preserve">FY2021 Sales</t>
  </si>
  <si>
    <t xml:space="preserve">FY2022 Sales</t>
  </si>
  <si>
    <t xml:space="preserve">FY2023 Sales</t>
  </si>
  <si>
    <t xml:space="preserve">FY2024 Sales</t>
  </si>
  <si>
    <t xml:space="preserve">FY22 Sales YoY</t>
  </si>
  <si>
    <t xml:space="preserve">FY23 Sales YoY</t>
  </si>
  <si>
    <t xml:space="preserve">FY24 Sales YoY</t>
  </si>
  <si>
    <t xml:space="preserve">FY2021 UTOP</t>
  </si>
  <si>
    <t xml:space="preserve">FY2022 UTOP</t>
  </si>
  <si>
    <t xml:space="preserve">FY2023 UTOP</t>
  </si>
  <si>
    <t xml:space="preserve">FY2024 UTOP</t>
  </si>
  <si>
    <t xml:space="preserve">FY2021 UTOP Margin</t>
  </si>
  <si>
    <t xml:space="preserve">FY2022 UTOP Margin</t>
  </si>
  <si>
    <t xml:space="preserve">FY2023 UTOP Margin</t>
  </si>
  <si>
    <t xml:space="preserve">FY2024 UTOP Margin</t>
  </si>
  <si>
    <t xml:space="preserve">FY22 RIG</t>
  </si>
  <si>
    <t xml:space="preserve">FY22 Pricing</t>
  </si>
  <si>
    <t xml:space="preserve">FY22 Organic Gr.</t>
  </si>
  <si>
    <t xml:space="preserve">FY22 Net M&amp;A</t>
  </si>
  <si>
    <t xml:space="preserve">FY22 FX</t>
  </si>
  <si>
    <t xml:space="preserve">FY24 RIG</t>
  </si>
  <si>
    <t xml:space="preserve">FY24 Pricing</t>
  </si>
  <si>
    <t xml:space="preserve">FY24 Organic Gr.</t>
  </si>
  <si>
    <t xml:space="preserve">FY24 Net M&amp;A</t>
  </si>
  <si>
    <t xml:space="preserve">FY24 FX</t>
  </si>
  <si>
    <t xml:space="preserve">Zone North America</t>
  </si>
  <si>
    <t xml:space="preserve">Zone Europe</t>
  </si>
  <si>
    <t xml:space="preserve">Zone AOA</t>
  </si>
  <si>
    <t xml:space="preserve">Zone Latin America</t>
  </si>
  <si>
    <t xml:space="preserve">Zone Greater China</t>
  </si>
  <si>
    <t xml:space="preserve">Nestlé Health Science</t>
  </si>
  <si>
    <t xml:space="preserve">Nespresso</t>
  </si>
  <si>
    <t xml:space="preserve">Other Businesses</t>
  </si>
  <si>
    <t xml:space="preserve">Total Group</t>
  </si>
  <si>
    <t xml:space="preserve">Source: Nestlé Full-Year Results press releases 2022 and 2024 (see README for links). FY21/FY22 RIG/Pricing/OG/M&amp;A/FX exclude Russia.</t>
  </si>
  <si>
    <t xml:space="preserve">Note: Segment UTOP figures sum to more than the Group Total UTOP shown above — this is expected. Nestlé's Group total nets off unallocated central costs and eliminations that are not broken out by segment in the summary disclosure, so the Total row uses the company's reported Group figure directly rather than a SUM of segments.</t>
  </si>
  <si>
    <t xml:space="preserve">Nestlé — Sales &amp; Profitability by Product Category, FY2021–FY2024 (CHF m unless %)</t>
  </si>
  <si>
    <t xml:space="preserve">Category</t>
  </si>
  <si>
    <t xml:space="preserve">Powdered &amp; liquid beverages</t>
  </si>
  <si>
    <t xml:space="preserve">Water</t>
  </si>
  <si>
    <t xml:space="preserve">Milk products &amp; ice cream</t>
  </si>
  <si>
    <t xml:space="preserve">Nutrition &amp; Health Science</t>
  </si>
  <si>
    <t xml:space="preserve">Prepared dishes &amp; cooking aids</t>
  </si>
  <si>
    <t xml:space="preserve">Confectionery</t>
  </si>
  <si>
    <t xml:space="preserve">PetCare</t>
  </si>
  <si>
    <t xml:space="preserve">Source: Nestlé Full-Year Results press releases 2022 and 2024 (see README for links).</t>
  </si>
  <si>
    <t xml:space="preserve">Note: as with the segment view, category UTOP figures sum to more than Group Total UTOP because unallocated central costs are not broken out by category. The Total row uses Nestlé's reported Group figure directly.</t>
  </si>
  <si>
    <t xml:space="preserve">Nestlé — H1/H2 Phasing by Segment, 2023 vs 2024 (CHF m)</t>
  </si>
  <si>
    <t xml:space="preserve">H2 = Full Year minus H1 (formula). Use this split as the seasonality baseline when building monthly/quarterly phasing in the Budget Model.</t>
  </si>
  <si>
    <t xml:space="preserve">H1-2023 Sales</t>
  </si>
  <si>
    <t xml:space="preserve">H2-2023 Sales (derived)</t>
  </si>
  <si>
    <t xml:space="preserve">H1-2024 Sales</t>
  </si>
  <si>
    <t xml:space="preserve">H2-2024 Sales (derived)</t>
  </si>
  <si>
    <t xml:space="preserve">H1-2023 UTOP</t>
  </si>
  <si>
    <t xml:space="preserve">H2-2023 UTOP (derived)</t>
  </si>
  <si>
    <t xml:space="preserve">H1-2024 UTOP</t>
  </si>
  <si>
    <t xml:space="preserve">H2-2024 UTOP (derived)</t>
  </si>
  <si>
    <t xml:space="preserve">H2-2024 vs H2-2023 Sales Growth</t>
  </si>
  <si>
    <t xml:space="preserve">Source: Nestlé Half-Year Results 2024 press release (H1 actuals); FY figures linked from Segment_Data sheet (green = cross-sheet link). Total Group UTOP row uses reported Group figures directly (see Segment_Data note on unallocated central costs).</t>
  </si>
  <si>
    <t xml:space="preserve">Nestlé Group — Consolidated Income Statement, FY2021–FY2024 (CHF million unless per-share)</t>
  </si>
  <si>
    <t xml:space="preserve">Line Item</t>
  </si>
  <si>
    <t xml:space="preserve">FY2021</t>
  </si>
  <si>
    <t xml:space="preserve">FY2022</t>
  </si>
  <si>
    <t xml:space="preserve">FY2023</t>
  </si>
  <si>
    <t xml:space="preserve">FY2024</t>
  </si>
  <si>
    <t xml:space="preserve">Sales</t>
  </si>
  <si>
    <t xml:space="preserve">Other revenue</t>
  </si>
  <si>
    <t xml:space="preserve">Cost of goods sold</t>
  </si>
  <si>
    <t xml:space="preserve">Distribution expenses</t>
  </si>
  <si>
    <t xml:space="preserve">Marketing and administration expenses</t>
  </si>
  <si>
    <t xml:space="preserve">Research and development costs</t>
  </si>
  <si>
    <t xml:space="preserve">Underlying Trading Operating Profit (UTOP)*</t>
  </si>
  <si>
    <t xml:space="preserve">Other trading income</t>
  </si>
  <si>
    <t xml:space="preserve">Other trading expenses</t>
  </si>
  <si>
    <t xml:space="preserve">Trading Operating Profit</t>
  </si>
  <si>
    <t xml:space="preserve">Other operating income</t>
  </si>
  <si>
    <t xml:space="preserve">Other operating expenses</t>
  </si>
  <si>
    <t xml:space="preserve">Operating Profit</t>
  </si>
  <si>
    <t xml:space="preserve">Financial income</t>
  </si>
  <si>
    <t xml:space="preserve">Financial expense</t>
  </si>
  <si>
    <t xml:space="preserve">Net Financial Income/(Expense)</t>
  </si>
  <si>
    <t xml:space="preserve">Profit Before Taxes, Associates and Joint Ventures</t>
  </si>
  <si>
    <t xml:space="preserve">Income from associates and joint ventures</t>
  </si>
  <si>
    <t xml:space="preserve">Taxes</t>
  </si>
  <si>
    <t xml:space="preserve">Profit for the Year</t>
  </si>
  <si>
    <t xml:space="preserve">Of which: non-controlling interests</t>
  </si>
  <si>
    <t xml:space="preserve">Net Profit (attributable to shareholders of the parent)</t>
  </si>
  <si>
    <t xml:space="preserve">UTOP Margin</t>
  </si>
  <si>
    <t xml:space="preserve">Trading Operating Profit Margin</t>
  </si>
  <si>
    <t xml:space="preserve">Operating Profit Margin</t>
  </si>
  <si>
    <t xml:space="preserve">Net Profit Margin</t>
  </si>
  <si>
    <t xml:space="preserve">Effective Tax Rate (Taxes ÷ PBT)</t>
  </si>
  <si>
    <t xml:space="preserve">Basic earnings per share (CHF)</t>
  </si>
  <si>
    <t xml:space="preserve">Diluted earnings per share (CHF)</t>
  </si>
  <si>
    <t xml:space="preserve">* "Underlying Trading Operating Profit" (UTOP) is Nestlé's own key profitability KPI. It is not printed as an explicit line in the statutory income statement, but is fully derivable as Sales + Other revenue − Cost of goods sold − Distribution expenses − Marketing &amp; administration expenses − Research &amp; development costs (computed here as a formula, not hardcoded) — it ties exactly to the UTOP figures Nestlé discloses separately (e.g. FY2024: CHF 15,704m, 17.2% margin).</t>
  </si>
  <si>
    <t xml:space="preserve">Sources: Nestlé Financial Statements 2024 (published 13-Feb-2025) for FY2024 and FY2023 — https://www.nestle.com/sites/default/files/2025-02/2024-financial-statements-en.pdf ; Nestlé Financial Statements 2022 (published 16-Feb-2023) for FY2022 and FY2021 — https://www.nestle.com/sites/default/files/2023-02/2022-financial-statements-en.pdf</t>
  </si>
  <si>
    <t xml:space="preserve">Shaded rows are subtotals computed by formula from the line items above them — never hardcoded — so every number here is traceable back to a disclosed line item.</t>
  </si>
  <si>
    <t xml:space="preserve">FY2021's unusually high Net Profit (CHF 16,905m) and 'Income from associates and joint ventures' (CHF 8,651m) reflect the one-off gain on Nestlé's disposal of part of its L'Oréal stake in 2021, not a recurring item.</t>
  </si>
  <si>
    <t xml:space="preserve">Nestlé Group — Consolidated Statement of Cash Flows, FY2021–FY2024 (CHF million)</t>
  </si>
  <si>
    <t xml:space="preserve">OPERATING ACTIVITIES</t>
  </si>
  <si>
    <t xml:space="preserve">Operating Profit (linked from Income_Statement)</t>
  </si>
  <si>
    <t xml:space="preserve">Depreciation and amortization</t>
  </si>
  <si>
    <t xml:space="preserve">Impairment</t>
  </si>
  <si>
    <t xml:space="preserve">Net result on disposal of businesses</t>
  </si>
  <si>
    <t xml:space="preserve">Other non-cash items of income and expense</t>
  </si>
  <si>
    <t xml:space="preserve">Cash Flow Before Changes in Operating Assets and Liabilities</t>
  </si>
  <si>
    <t xml:space="preserve">Decrease/(increase) in working capital</t>
  </si>
  <si>
    <t xml:space="preserve">Variation of other operating assets and liabilities</t>
  </si>
  <si>
    <t xml:space="preserve">Cash Generated from Operations</t>
  </si>
  <si>
    <t xml:space="preserve">Interest paid</t>
  </si>
  <si>
    <t xml:space="preserve">Interest and dividends received</t>
  </si>
  <si>
    <t xml:space="preserve">Taxes paid</t>
  </si>
  <si>
    <t xml:space="preserve">Dividends and interest from associates and joint ventures</t>
  </si>
  <si>
    <t xml:space="preserve">Operating Cash Flow</t>
  </si>
  <si>
    <t xml:space="preserve">INVESTING ACTIVITIES</t>
  </si>
  <si>
    <t xml:space="preserve">Capital expenditure</t>
  </si>
  <si>
    <t xml:space="preserve">Expenditure on intangible assets</t>
  </si>
  <si>
    <t xml:space="preserve">Acquisition of businesses, net of cash acquired</t>
  </si>
  <si>
    <t xml:space="preserve">Disposal of businesses, net of cash disposed of</t>
  </si>
  <si>
    <t xml:space="preserve">Investments (net) in associates and joint ventures</t>
  </si>
  <si>
    <t xml:space="preserve">Divestments in associates and joint ventures</t>
  </si>
  <si>
    <t xml:space="preserve">Inflows/(outflows) from treasury investments</t>
  </si>
  <si>
    <t xml:space="preserve">Other investing activities</t>
  </si>
  <si>
    <t xml:space="preserve">Investing Cash Flow</t>
  </si>
  <si>
    <t xml:space="preserve">FINANCING ACTIVITIES</t>
  </si>
  <si>
    <t xml:space="preserve">Dividend paid to shareholders of the parent</t>
  </si>
  <si>
    <t xml:space="preserve">Dividends paid to non-controlling interests</t>
  </si>
  <si>
    <t xml:space="preserve">Acquisition of non-controlling interests</t>
  </si>
  <si>
    <t xml:space="preserve">Purchase of treasury shares</t>
  </si>
  <si>
    <t xml:space="preserve">Inflows from bonds and other long-term financial debt</t>
  </si>
  <si>
    <t xml:space="preserve">Outflows from bonds, lease liabilities and other long-term financial debt</t>
  </si>
  <si>
    <t xml:space="preserve">Inflows/(outflows) from short-term financial debt</t>
  </si>
  <si>
    <t xml:space="preserve">Financing Cash Flow</t>
  </si>
  <si>
    <t xml:space="preserve">CASH RECONCILIATION</t>
  </si>
  <si>
    <t xml:space="preserve">Currency retranslations</t>
  </si>
  <si>
    <t xml:space="preserve">Increase/(Decrease) in Cash and Cash Equivalents</t>
  </si>
  <si>
    <t xml:space="preserve">Cash and cash equivalents at beginning of year</t>
  </si>
  <si>
    <t xml:space="preserve">Cash and Cash Equivalents at End of Year</t>
  </si>
  <si>
    <t xml:space="preserve">Cash and cash equivalents classified as held for sale</t>
  </si>
  <si>
    <t xml:space="preserve">Cash and Cash Equivalents per Balance Sheet</t>
  </si>
  <si>
    <t xml:space="preserve">MEMO: FREE CASH FLOW</t>
  </si>
  <si>
    <t xml:space="preserve">Free Cash Flow (as reported by Nestlé)</t>
  </si>
  <si>
    <t xml:space="preserve">Free Cash Flow (derived: Operating CF − Capex − Intangible capex)</t>
  </si>
  <si>
    <t xml:space="preserve">Free Cash Flow Margin (reported FCF ÷ Sales)</t>
  </si>
  <si>
    <t xml:space="preserve">Sources: Nestlé Financial Statements 2024 (13-Feb-2025) for FY2024/FY2023, and Nestlé Financial Statements 2022 (16-Feb-2023) for FY2022/FY2021 — same two documents cited on the Income_Statement sheet.</t>
  </si>
  <si>
    <t xml:space="preserve">"Free Cash Flow (as reported by Nestlé)" is the company's own headline FCF figure quoted in its results press releases. "Free Cash Flow (derived)" is a from-first-principles calculation (Operating Cash Flow − Capex − Intangible capex) using only the line items above — the two do not tie out exactly (Nestlé's own FCF definition includes some additional adjustments not separately disclosed), which is normal and is flagged here rather than silently forced to match.</t>
  </si>
  <si>
    <t xml:space="preserve">Shaded rows are subtotals computed by formula, never hardcoded, so every subtotal is traceable to a disclosed line item.</t>
  </si>
  <si>
    <t xml:space="preserve">"Divestments in associates and joint ventures" (CHF 9,294m in FY2021 only) reflects the one-off partial disposal of Nestlé's L'Oréal stake — see the matching note on the Income_Statement sheet.</t>
  </si>
  <si>
    <t xml:space="preserve">Nestlé — FY2025 Budget Assumptions (full line-item detail, P&amp;L + Cash Flow)</t>
  </si>
  <si>
    <t xml:space="preserve">Driver</t>
  </si>
  <si>
    <t xml:space="preserve">FY2025 Assumption</t>
  </si>
  <si>
    <t xml:space="preserve">Source / Rationale</t>
  </si>
  <si>
    <t xml:space="preserve">A. INCOME STATEMENT DRIVERS</t>
  </si>
  <si>
    <t xml:space="preserve">Organic Sales Growth</t>
  </si>
  <si>
    <t xml:space="preserve">Nestlé FY2025 guidance (Full-Year Results 2024 press release, 13-Feb-2025): "organic sales growth is expected to improve compared to 2024, strengthening through the year" (FY2024 organic growth was 2.2%). 3.0% is an illustrative point assumption within that guided range — Nestlé did not disclose a precise FY2025 organic growth number.</t>
  </si>
  <si>
    <t xml:space="preserve">Net M&amp;A Impact</t>
  </si>
  <si>
    <t xml:space="preserve">No acquisition/divestment guidance was disclosed for FY2025; assumed neutral (0.0%), consistent with FY2024's own -0.3% being a minor, non-recurring item.</t>
  </si>
  <si>
    <t xml:space="preserve">Foreign Exchange (FX) Impact</t>
  </si>
  <si>
    <t xml:space="preserve">FY2025 guidance "assumes no significant change in key macroeconomic variables" — interpreted as a flat (0.0%) FX assumption. This is a simplifying assumption, not a forecast of currency markets.</t>
  </si>
  <si>
    <t xml:space="preserve">→ Implied Reported Sales Growth</t>
  </si>
  <si>
    <t xml:space="preserve">Formula: Organic Sales Growth + Net M&amp;A Impact + FX Impact (not a separate input).</t>
  </si>
  <si>
    <t xml:space="preserve">Other Revenue (% of Sales)</t>
  </si>
  <si>
    <t xml:space="preserve">Own assumption: held flat at the FY2024 ratio (366 / 91,354 = 0.40%) — an immaterial, stable line with no company guidance.</t>
  </si>
  <si>
    <t xml:space="preserve">Cost of Goods Sold (% of Sales)</t>
  </si>
  <si>
    <t xml:space="preserve">Own assumption: modest improvement from FY2024's 53.3% ratio, reflecting continued procurement/input-cost savings under the "Fuel for Growth" cost-savings programme referenced in FY2025 guidance. No specific COGS-ratio guidance was disclosed.</t>
  </si>
  <si>
    <t xml:space="preserve">Distribution Expenses (% of Sales)</t>
  </si>
  <si>
    <t xml:space="preserve">Own assumption: slight improvement from FY2024's 8.28% ratio, reflecting logistics/supply-chain efficiencies under Fuel for Growth. No specific guidance was disclosed for this line.</t>
  </si>
  <si>
    <t xml:space="preserve">Marketing &amp; Administration Expenses (% of Sales)</t>
  </si>
  <si>
    <t xml:space="preserve">Own assumption, the key driver of the guided margin step-down: FY2025 guidance states advertising &amp; marketing spend is planned to increase toward ~9% of sales by end-2025 (from 8.1% in FY2024); this line also includes G&amp;A, which is not separately guided, so the ratio is calibrated (from FY2024's 19.83%) so that the resulting UTOP margin lands at "or above 16.0%", per guidance — see the memo row below.</t>
  </si>
  <si>
    <t xml:space="preserve">Research &amp; Development Costs (% of Sales)</t>
  </si>
  <si>
    <t xml:space="preserve">Own assumption: held broadly flat versus FY2024's 1.82% ratio — Nestlé has not signalled a change in R&amp;D investment intensity.</t>
  </si>
  <si>
    <t xml:space="preserve">→ Resulting UTOP Margin (memo, not an input)</t>
  </si>
  <si>
    <t xml:space="preserve">Formula: 1 + Other Revenue% − COGS% − Distribution% − Marketing&amp;Admin% − R&amp;D%. Shown for reference against FY2025 guidance of "UTOP margin expected to be at or above 16.0%" (down from FY2024's 17.2%).</t>
  </si>
  <si>
    <t xml:space="preserve">Other Trading Items, net (% of Sales)</t>
  </si>
  <si>
    <t xml:space="preserve">Own assumption: FY2023–FY2024 two-year average net ratio (-1.65% / -1.17%, avg ≈ -1.41%), reflecting continued but no-longer-escalating restructuring/one-off items as the prior large cost-reduction programme (2021–2022) winds down. Nestlé does not guide this line.</t>
  </si>
  <si>
    <t xml:space="preserve">Other Operating Items, net (% of Sales)</t>
  </si>
  <si>
    <t xml:space="preserve">Own assumption: FY2023–FY2024 two-year average net ratio (-0.49% / +0.10%, avg ≈ -0.20%). This line is inherently one-off in nature (disposals, portfolio actions) and is not guided by the company.</t>
  </si>
  <si>
    <t xml:space="preserve">Financial Income Growth (vs FY2024)</t>
  </si>
  <si>
    <t xml:space="preserve">Own assumption: held flat — no treasury-yield or cash-balance guidance was disclosed for FY2025.</t>
  </si>
  <si>
    <t xml:space="preserve">Net Financial Expense Growth (vs FY2024)</t>
  </si>
  <si>
    <t xml:space="preserve">Own assumption (not company guidance): Nestlé's net debt rose to CHF 56.0bn at FY2024 year-end (from CHF 49.6bn a year earlier) and the company does not anticipate a new share buyback programme in 2025 — implying continued elevated net financial expenses. +5.0% growth vs FY2024's CHF 1,485m is assumed as a reasonable continuation of the FY2023→FY2024 trend (+9.2%), applied more conservatively. Financial expense is then derived as the balancing line versus the flat Financial Income assumption above.</t>
  </si>
  <si>
    <t xml:space="preserve">Income from Associates &amp; JVs Growth</t>
  </si>
  <si>
    <t xml:space="preserve">Own assumption: continuation of the FY2022–FY2024 recovery trend (CHF 1,040m → 1,120m → 1,249m, i.e. +7.7% then +11.5% YoY), moderated to +8.0% for FY2025. Excludes the FY2021 CHF 8,651m figure, which included the one-off L'Oréal-related gain and is not representative of a run rate.</t>
  </si>
  <si>
    <t xml:space="preserve">Effective Tax Rate</t>
  </si>
  <si>
    <t xml:space="preserve">Own assumption: close to, but slightly below, FY2024's reported 25.0% rate, with modest normalization assumed as the one-off deferred-tax write-off that inflated the FY2024 rate is not expected to repeat. No FY2025 tax-rate guidance was disclosed.</t>
  </si>
  <si>
    <t xml:space="preserve">Non-Controlling Interests (% of Profit for the Year)</t>
  </si>
  <si>
    <t xml:space="preserve">Own assumption: held flat at the FY2024 ratio (290 / 11,174 = 2.60%) — this line has been stable (2.5%–3.4%) across FY2021–FY2024.</t>
  </si>
  <si>
    <t xml:space="preserve">Shares Outstanding for EPS (million)</t>
  </si>
  <si>
    <t xml:space="preserve">FY2024 weighted-average basic shares implied by reported EPS (Net Profit CHF 10,884m ÷ EPS CHF 4.19 ≈ 2,598m), reduced by the 43.5 million shares the Board proposed for cancellation in 2025. No new buyback programme is planned for 2025 per guidance, so the share count is held flat aside from that already-announced cancellation.</t>
  </si>
  <si>
    <t xml:space="preserve">B. CASH FLOW DRIVERS</t>
  </si>
  <si>
    <t xml:space="preserve">Depreciation &amp; Amortization (% of Sales)</t>
  </si>
  <si>
    <t xml:space="preserve">Own assumption: held flat at the FY2024 ratio (3,582 / 91,354 = 3.92%) — D&amp;A has been stable at 3.7%–3.9% of sales across FY2021–FY2024, tracking the asset base rather than any single-year driver.</t>
  </si>
  <si>
    <t xml:space="preserve">Impairment (CHF m)</t>
  </si>
  <si>
    <t xml:space="preserve">Own assumption: held flat at the FY2024 level, treated as a normalized run-rate figure. FY2021–FY2022 carried much larger impairments (CHF 2,614m / 2,726m) tied to a specific prior restructuring programme that has since wound down (FY2023: CHF 647m, FY2024: CHF 580m); no new large impairment is assumed.</t>
  </si>
  <si>
    <t xml:space="preserve">Net Disposal Result &amp; Other Non-Cash Items (CHF m)</t>
  </si>
  <si>
    <t xml:space="preserve">Own assumption: neutral placeholder. Both lines have swung between small positive and negative values FY2021–FY2024 with no discernible trend and no company guidance — modelling anything other than zero would be spurious precision.</t>
  </si>
  <si>
    <t xml:space="preserve">Working Capital &amp; Other Operating Movements (CHF m)</t>
  </si>
  <si>
    <t xml:space="preserve">Own assumption: neutral placeholder. Combined working-capital and other-operating-asset/liability movements have ranged from -CHF 3,647m (FY2022) to +CHF 874m (FY2024) with no stable trend; Nestlé gives no forward guidance on working capital, so a zero net assumption is used rather than an unsupported extrapolation.</t>
  </si>
  <si>
    <t xml:space="preserve">Interest Paid (% of Budgeted Financial Expense)</t>
  </si>
  <si>
    <t xml:space="preserve">Own assumption: FY2024's historical cash-vs-accrual ratio (interest paid CHF 1,539m ÷ financial expense CHF 1,843m = 83.5%) applied to the FY2025 Budget's financial expense line.</t>
  </si>
  <si>
    <t xml:space="preserve">Interest Received (% of Budgeted Financial Income)</t>
  </si>
  <si>
    <t xml:space="preserve">Own assumption: FY2024's historical ratio (interest &amp; dividends received CHF 273m ÷ financial income CHF 358m = 76.3%) applied to the FY2025 Budget's financial income line.</t>
  </si>
  <si>
    <t xml:space="preserve">Taxes Paid (% of Budgeted Tax Expense)</t>
  </si>
  <si>
    <t xml:space="preserve">Own assumption: FY2024's historical cash-vs-accrual ratio (taxes paid CHF 2,411m ÷ tax expense CHF 3,314m = 72.7%) applied to the FY2025 Budget's tax expense line, reflecting normal timing differences between accrued and cash tax.</t>
  </si>
  <si>
    <t xml:space="preserve">Associate Dividends Received (% of Budgeted Associate Income)</t>
  </si>
  <si>
    <t xml:space="preserve">Own assumption: FY2024's historical ratio (dividends &amp; interest from associates/JVs CHF 759m ÷ income from associates &amp; JVs CHF 1,249m = 60.8%) applied to the FY2025 Budget's associate income line.</t>
  </si>
  <si>
    <t xml:space="preserve">Capital Expenditure (% of Sales)</t>
  </si>
  <si>
    <t xml:space="preserve">Own assumption: continuation of the rising FY2021–FY2024 capex-intensity trend (5.6% → 5.4% → 6.1% → 6.2% of sales), held at the FY2024 level — Nestlé has not disclosed specific FY2025 capex guidance.</t>
  </si>
  <si>
    <t xml:space="preserve">Intangible Asset Capex (% of Sales)</t>
  </si>
  <si>
    <t xml:space="preserve">Own assumption: four-year average ratio (0.53% / 0.28% / 0.53% / 0.36%, avg ≈ 0.42%), rounded to 0.40% of sales.</t>
  </si>
  <si>
    <t xml:space="preserve">Acquisitions/Disposals of Businesses, net (CHF m)</t>
  </si>
  <si>
    <t xml:space="preserve">Own assumption: no acquisitions or disposals are budgeted, consistent with no M&amp;A guidance being disclosed for FY2025 (mirrors the Net M&amp;A Impact = 0.0% sales assumption above).</t>
  </si>
  <si>
    <t xml:space="preserve">Associate Investments, net (% of Sales)</t>
  </si>
  <si>
    <t xml:space="preserve">Own assumption: continuation of the recent FY2023–FY2024 level (-CHF 582m / -CHF 532m, both ≈ -0.6% of sales), reflecting ongoing (but not accelerating) investment in associates/JVs such as coffee and pet care ventures.</t>
  </si>
  <si>
    <t xml:space="preserve">Divestments in Associates/JVs (CHF m)</t>
  </si>
  <si>
    <t xml:space="preserve">Own assumption: zero, consistent with FY2022–FY2024 (all nil). FY2021's CHF 9,294m reflected the one-off partial disposal of Nestlé's L'Oréal stake and is not expected to recur.</t>
  </si>
  <si>
    <t xml:space="preserve">Treasury Investments &amp; Other Investing (CHF m)</t>
  </si>
  <si>
    <t xml:space="preserve">Own assumption: neutral placeholder. Both lines are treasury-management driven, have swung between large inflows and outflows FY2021–FY2024 (e.g. treasury investments from -CHF 3,610m to +CHF 5,902m), and are not forecastable from sales or guidance.</t>
  </si>
  <si>
    <t xml:space="preserve">Dividend Paid to Shareholders Growth (vs FY2024)</t>
  </si>
  <si>
    <t xml:space="preserve">Own assumption: Nestlé has a long-standing progressive dividend policy (per-share dividend increased for over two decades); +2.0% is assumed as a modest continuation. No specific FY2025 dividend figure was available at the time of this budget (the dividend for a given year is proposed to shareholders the following February, i.e. after this budget is built).</t>
  </si>
  <si>
    <t xml:space="preserve">Dividends to Non-Controlling Interests (CHF m)</t>
  </si>
  <si>
    <t xml:space="preserve">Own assumption: held flat at the FY2024 level. This line has ranged CHF -174m to -323m across FY2021–FY2024 with no clear trend and no guidance.</t>
  </si>
  <si>
    <t xml:space="preserve">Acquisition of Non-Controlling Interests (CHF m)</t>
  </si>
  <si>
    <t xml:space="preserve">Own assumption: zero. This line reflects opportunistic buy-outs of minority stakes (CHF -601m to -27m across FY2021–FY2024, declining) and is not a plannable, recurring item.</t>
  </si>
  <si>
    <t xml:space="preserve">Purchase of Treasury Shares (CHF m)</t>
  </si>
  <si>
    <t xml:space="preserve">Directly per FY2025 guidance: Nestlé stated it does not anticipate a new share buyback programme in 2025 (consistent with the Shares Outstanding assumption above, which holds the share count flat aside from the already-announced cancellation).</t>
  </si>
  <si>
    <t xml:space="preserve">Bond/Long-Term Debt Inflows (CHF m)</t>
  </si>
  <si>
    <t xml:space="preserve">Own assumption: held flat at the FY2024 level, reflecting a steady-state refinancing/issuance programme — Nestlé has not disclosed a specific FY2025 debt-issuance plan.</t>
  </si>
  <si>
    <t xml:space="preserve">Bond/Lease/Long-Term Debt Outflows (CHF m)</t>
  </si>
  <si>
    <t xml:space="preserve">Own assumption: held flat at the FY2024 level, for the same reason as the inflows line above. Net long-term debt financing therefore continues at roughly the FY2024 pace, consistent with the rising net-debt / rising net-financial-expense narrative used elsewhere in this budget.</t>
  </si>
  <si>
    <t xml:space="preserve">Short-Term Debt Movement (CHF m)</t>
  </si>
  <si>
    <t xml:space="preserve">Own assumption: neutral placeholder. This is the most volatile line in the financing section (CHF -885m to +2,396m across FY2021–FY2024) and is a short-term treasury management decision, not a forecastable business driver.</t>
  </si>
  <si>
    <t xml:space="preserve">Currency Retranslation (CHF m)</t>
  </si>
  <si>
    <t xml:space="preserve">Own assumption: zero, consistent with the flat (0.0%) FX Impact assumption used for Sales above — no currency-market forecast is being made.</t>
  </si>
  <si>
    <t xml:space="preserve">IMPORTANT: cells highlighted in yellow are the editable assumptions. Change any of them and every figure in the Budget_FY2025_PL_CF sheet recalculates automatically. Rows marked "→" are memo/formula rows, not separate inputs.</t>
  </si>
  <si>
    <t xml:space="preserve">Nestlé Group — FY2025 Budget vs FY2024 Actual, full P&amp;L + Cash Flow detail (CHF m unless % or per-share)</t>
  </si>
  <si>
    <t xml:space="preserve">Metric</t>
  </si>
  <si>
    <t xml:space="preserve">FY2024 Actual</t>
  </si>
  <si>
    <t xml:space="preserve">FY2025 Budget</t>
  </si>
  <si>
    <t xml:space="preserve">Budget YoY Growth</t>
  </si>
  <si>
    <t xml:space="preserve">INCOME STATEMENT</t>
  </si>
  <si>
    <t xml:space="preserve">Underlying Trading Operating Profit (UTOP)</t>
  </si>
  <si>
    <t xml:space="preserve">Other trading items, net</t>
  </si>
  <si>
    <t xml:space="preserve">Other operating items, net</t>
  </si>
  <si>
    <t xml:space="preserve">Basic EPS (CHF)</t>
  </si>
  <si>
    <t xml:space="preserve">CASH FLOW STATEMENT</t>
  </si>
  <si>
    <t xml:space="preserve">Operating Profit (linked from Income Statement above)</t>
  </si>
  <si>
    <t xml:space="preserve">Net disposal result &amp; other non-cash items</t>
  </si>
  <si>
    <t xml:space="preserve">Working capital &amp; other operating movements</t>
  </si>
  <si>
    <t xml:space="preserve">Acquisition/disposal of businesses, net</t>
  </si>
  <si>
    <t xml:space="preserve">Treasury investments &amp; other investing</t>
  </si>
  <si>
    <t xml:space="preserve">Free Cash Flow Margin</t>
  </si>
  <si>
    <t xml:space="preserve">Column B ("FY2024 Actual") links directly to the Income_Statement and Cash_Flow_Statement sheets — it is not retyped. Column C ("FY2025 Budget") is entirely driven by the assumption cells in Assumptions_FY2025 — change any assumption there and this whole sheet recalculates.</t>
  </si>
  <si>
    <t xml:space="preserve">This budget is built at the same line-item level of detail as Income_Statement and Cash_Flow_Statement (full statutory P&amp;L and Cash Flow, not a simplified bridge). Lines with no forecastable business driver and no company guidance (e.g. treasury investments, short-term debt movements, non-cash disposal items) are explicitly assumed flat/neutral rather than given spurious precision — see each driver's rationale in Assumptions_FY2025.</t>
  </si>
  <si>
    <t xml:space="preserve">"Other trading items, net" and "Other operating items, net" are budgeted on a combined net basis (income − expense), unlike the split presentation in Income_Statement, since FY2025 guidance does not provide separate visibility into these one-off/restructuring components.</t>
  </si>
  <si>
    <t xml:space="preserve">Budgeted ending cash rises materially (CHF 5,558m -&gt; CHF 9,240m, +66%) versus FY2024 mainly because two large one-off FY2024 cash outflows are assumed not to repeat: the CHF 4,678m share buyback (per guidance, no new buyback programme is planned for 2025) and CHF 832m/1,297m of M&amp;A and treasury-investment outflows (no acquisitions are budgeted for FY2025). This is a mechanical consequence of the guidance-based assumptions above, not a hidden cash-generation improvement in the underlying business — Operating Cash Flow is actually budgeted slightly lower than FY2024 (CHF 15,666m vs CHF 16,675m).</t>
  </si>
  <si>
    <t xml:space="preserve">This is a Budget built from Nestlé's own FY2025 guidance as disclosed on 13-Feb-2025, BEFORE FY2025 actual results were known — it deliberately does not use hindsight. Step 3 of this project (Variance Analysis) will compare this Budget against Nestlé's actual FY2025 results once published.</t>
  </si>
</sst>
</file>

<file path=xl/styles.xml><?xml version="1.0" encoding="utf-8"?>
<styleSheet xmlns="http://schemas.openxmlformats.org/spreadsheetml/2006/main">
  <numFmts count="5">
    <numFmt numFmtId="164" formatCode="General"/>
    <numFmt numFmtId="165" formatCode="#,##0;\(#,##0\);\-"/>
    <numFmt numFmtId="166" formatCode="0.0%;\(0.0%\);\-"/>
    <numFmt numFmtId="167" formatCode="0.00;\(0.00\);\-"/>
    <numFmt numFmtId="168" formatCode="#,##0.0"/>
  </numFmts>
  <fonts count="32">
    <font>
      <sz val="11"/>
      <color theme="1"/>
      <name val="Calibri"/>
      <family val="2"/>
      <charset val="1"/>
    </font>
    <font>
      <sz val="10"/>
      <name val="Arial"/>
      <family val="0"/>
    </font>
    <font>
      <sz val="10"/>
      <name val="Arial"/>
      <family val="0"/>
    </font>
    <font>
      <sz val="10"/>
      <name val="Arial"/>
      <family val="0"/>
    </font>
    <font>
      <sz val="11"/>
      <color theme="1"/>
      <name val="Arial"/>
      <family val="2"/>
      <charset val="1"/>
    </font>
    <font>
      <b val="true"/>
      <sz val="11"/>
      <color rgb="FF1F4B44"/>
      <name val="Arial"/>
      <family val="2"/>
      <charset val="1"/>
    </font>
    <font>
      <b val="true"/>
      <sz val="11"/>
      <name val="Arial"/>
      <family val="2"/>
      <charset val="1"/>
    </font>
    <font>
      <sz val="11"/>
      <color rgb="FF000000"/>
      <name val="Arial"/>
      <family val="2"/>
      <charset val="1"/>
    </font>
    <font>
      <sz val="11"/>
      <color rgb="FF000000"/>
      <name val="Cambria"/>
      <family val="0"/>
      <charset val="1"/>
    </font>
    <font>
      <i val="true"/>
      <sz val="11"/>
      <color rgb="FF666666"/>
      <name val="Arial"/>
      <family val="2"/>
      <charset val="1"/>
    </font>
    <font>
      <b val="true"/>
      <sz val="14"/>
      <color rgb="FF1F4B44"/>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sz val="10"/>
      <color rgb="FF000000"/>
      <name val="Arial"/>
      <family val="0"/>
      <charset val="1"/>
    </font>
    <font>
      <b val="true"/>
      <sz val="10"/>
      <color rgb="FF0000FF"/>
      <name val="Arial"/>
      <family val="0"/>
      <charset val="1"/>
    </font>
    <font>
      <i val="true"/>
      <sz val="8"/>
      <color rgb="FF666666"/>
      <name val="Arial"/>
      <family val="0"/>
      <charset val="1"/>
    </font>
    <font>
      <sz val="10"/>
      <color rgb="FF008000"/>
      <name val="Arial"/>
      <family val="0"/>
      <charset val="1"/>
    </font>
    <font>
      <b val="true"/>
      <sz val="10"/>
      <color rgb="FF008000"/>
      <name val="Arial"/>
      <family val="0"/>
      <charset val="1"/>
    </font>
    <font>
      <b val="true"/>
      <sz val="11"/>
      <name val="Cambria"/>
      <family val="0"/>
      <charset val="1"/>
    </font>
    <font>
      <b val="true"/>
      <sz val="11"/>
      <color rgb="FFFFFFFF"/>
      <name val="Cambria"/>
      <family val="0"/>
      <charset val="1"/>
    </font>
    <font>
      <sz val="11"/>
      <name val="Calibri"/>
      <family val="0"/>
      <charset val="1"/>
    </font>
    <font>
      <sz val="11"/>
      <color rgb="FF0000FF"/>
      <name val="Cambria"/>
      <family val="0"/>
      <charset val="1"/>
    </font>
    <font>
      <b val="true"/>
      <sz val="11"/>
      <name val="Calibri"/>
      <family val="0"/>
      <charset val="1"/>
    </font>
    <font>
      <b val="true"/>
      <sz val="11"/>
      <color rgb="FF000000"/>
      <name val="Cambria"/>
      <family val="0"/>
      <charset val="1"/>
    </font>
    <font>
      <i val="true"/>
      <sz val="9"/>
      <color rgb="FF6B675C"/>
      <name val="Cambria"/>
      <family val="0"/>
      <charset val="1"/>
    </font>
    <font>
      <b val="true"/>
      <i val="true"/>
      <sz val="11"/>
      <name val="Calibri"/>
      <family val="0"/>
      <charset val="1"/>
    </font>
    <font>
      <b val="true"/>
      <sz val="12"/>
      <name val="Cambria"/>
      <family val="0"/>
      <charset val="1"/>
    </font>
    <font>
      <sz val="9"/>
      <color rgb="FF444444"/>
      <name val="Cambria"/>
      <family val="0"/>
      <charset val="1"/>
    </font>
    <font>
      <sz val="11"/>
      <color rgb="FF008000"/>
      <name val="Cambria"/>
      <family val="0"/>
      <charset val="1"/>
    </font>
    <font>
      <b val="true"/>
      <sz val="11"/>
      <color rgb="FF008000"/>
      <name val="Cambria"/>
      <family val="0"/>
      <charset val="1"/>
    </font>
    <font>
      <b val="true"/>
      <i val="true"/>
      <sz val="10"/>
      <color rgb="FF1F4B44"/>
      <name val="Cambria"/>
      <family val="0"/>
      <charset val="1"/>
    </font>
  </fonts>
  <fills count="7">
    <fill>
      <patternFill patternType="none"/>
    </fill>
    <fill>
      <patternFill patternType="gray125"/>
    </fill>
    <fill>
      <patternFill patternType="solid">
        <fgColor rgb="FF1F4B44"/>
        <bgColor rgb="FF444444"/>
      </patternFill>
    </fill>
    <fill>
      <patternFill patternType="solid">
        <fgColor rgb="FFD9E2E0"/>
        <bgColor rgb="FFD9D6C9"/>
      </patternFill>
    </fill>
    <fill>
      <patternFill patternType="solid">
        <fgColor rgb="FFEDEDE8"/>
        <bgColor rgb="FFD9E2E0"/>
      </patternFill>
    </fill>
    <fill>
      <patternFill patternType="solid">
        <fgColor rgb="FFD9D6C9"/>
        <bgColor rgb="FFD9E2E0"/>
      </patternFill>
    </fill>
    <fill>
      <patternFill patternType="solid">
        <fgColor rgb="FFFFFF00"/>
        <bgColor rgb="FFFFFF00"/>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general" vertical="bottom" textRotation="0" wrapText="false" indent="0" shrinkToFit="false"/>
      <protection locked="true" hidden="false"/>
    </xf>
    <xf numFmtId="166" fontId="14" fillId="0" borderId="1" xfId="0" applyFont="true" applyBorder="true" applyAlignment="true" applyProtection="false">
      <alignment horizontal="general" vertical="bottom" textRotation="0" wrapText="false" indent="0" shrinkToFit="false"/>
      <protection locked="true" hidden="false"/>
    </xf>
    <xf numFmtId="166" fontId="13" fillId="0" borderId="1" xfId="0" applyFont="true" applyBorder="tru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xf numFmtId="165" fontId="12" fillId="3" borderId="1" xfId="0" applyFont="true" applyBorder="true" applyAlignment="true" applyProtection="false">
      <alignment horizontal="general" vertical="bottom" textRotation="0" wrapText="false" indent="0" shrinkToFit="false"/>
      <protection locked="true" hidden="false"/>
    </xf>
    <xf numFmtId="166" fontId="12" fillId="3" borderId="1" xfId="0" applyFont="true" applyBorder="true" applyAlignment="true" applyProtection="false">
      <alignment horizontal="general" vertical="bottom" textRotation="0" wrapText="false" indent="0" shrinkToFit="false"/>
      <protection locked="true" hidden="false"/>
    </xf>
    <xf numFmtId="165" fontId="15" fillId="3" borderId="1" xfId="0" applyFont="true" applyBorder="true" applyAlignment="true" applyProtection="false">
      <alignment horizontal="general" vertical="bottom" textRotation="0" wrapText="false" indent="0" shrinkToFit="false"/>
      <protection locked="true" hidden="false"/>
    </xf>
    <xf numFmtId="166" fontId="15" fillId="3"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5" fontId="17" fillId="0" borderId="1" xfId="0" applyFont="true" applyBorder="tru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general" vertical="bottom" textRotation="0" wrapText="false" indent="0" shrinkToFit="false"/>
      <protection locked="true" hidden="false"/>
    </xf>
    <xf numFmtId="165" fontId="18" fillId="3" borderId="1"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5" fontId="22" fillId="0" borderId="0" xfId="0" applyFont="true" applyBorder="false" applyAlignment="true" applyProtection="false">
      <alignment horizontal="general" vertical="bottom" textRotation="0" wrapText="false" indent="0" shrinkToFit="false"/>
      <protection locked="true" hidden="false"/>
    </xf>
    <xf numFmtId="164" fontId="23" fillId="4" borderId="0" xfId="0" applyFont="true" applyBorder="false" applyAlignment="true" applyProtection="false">
      <alignment horizontal="general" vertical="bottom" textRotation="0" wrapText="false" indent="0" shrinkToFit="false"/>
      <protection locked="true" hidden="false"/>
    </xf>
    <xf numFmtId="165" fontId="24" fillId="4"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22"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6" fontId="24"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19" fillId="5"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6" fontId="22" fillId="6" borderId="0" xfId="0" applyFont="true" applyBorder="fals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68" fontId="22" fillId="6" borderId="0" xfId="0" applyFont="true" applyBorder="false" applyAlignment="true" applyProtection="false">
      <alignment horizontal="general" vertical="bottom" textRotation="0" wrapText="false" indent="0" shrinkToFit="false"/>
      <protection locked="true" hidden="false"/>
    </xf>
    <xf numFmtId="165" fontId="22" fillId="6"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29" fillId="0" borderId="0" xfId="0" applyFont="true" applyBorder="false" applyAlignment="true" applyProtection="false">
      <alignment horizontal="general" vertical="bottom" textRotation="0" wrapText="false" indent="0" shrinkToFit="false"/>
      <protection locked="true" hidden="false"/>
    </xf>
    <xf numFmtId="164" fontId="24" fillId="4" borderId="0" xfId="0" applyFont="true" applyBorder="false" applyAlignment="true" applyProtection="false">
      <alignment horizontal="general" vertical="bottom" textRotation="0" wrapText="false" indent="0" shrinkToFit="false"/>
      <protection locked="true" hidden="false"/>
    </xf>
    <xf numFmtId="165" fontId="30" fillId="4" borderId="0" xfId="0" applyFont="true" applyBorder="false" applyAlignment="true" applyProtection="false">
      <alignment horizontal="general" vertical="bottom" textRotation="0" wrapText="false" indent="0" shrinkToFit="false"/>
      <protection locked="true" hidden="false"/>
    </xf>
    <xf numFmtId="166" fontId="24" fillId="4" borderId="0" xfId="0" applyFont="true" applyBorder="false" applyAlignment="true" applyProtection="false">
      <alignment horizontal="general" vertical="bottom" textRotation="0" wrapText="false" indent="0" shrinkToFit="false"/>
      <protection locked="true" hidden="false"/>
    </xf>
    <xf numFmtId="166" fontId="29" fillId="0" borderId="0" xfId="0" applyFont="true" applyBorder="false" applyAlignment="true" applyProtection="false">
      <alignment horizontal="general" vertical="bottom" textRotation="0" wrapText="false" indent="0" shrinkToFit="false"/>
      <protection locked="true" hidden="false"/>
    </xf>
    <xf numFmtId="167" fontId="29"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6B675C"/>
      <rgbColor rgb="FF9999FF"/>
      <rgbColor rgb="FF993366"/>
      <rgbColor rgb="FFEDEDE8"/>
      <rgbColor rgb="FFCCFFFF"/>
      <rgbColor rgb="FF660066"/>
      <rgbColor rgb="FFFF8080"/>
      <rgbColor rgb="FF0066CC"/>
      <rgbColor rgb="FFD9D6C9"/>
      <rgbColor rgb="FF000080"/>
      <rgbColor rgb="FFFF00FF"/>
      <rgbColor rgb="FFFFFF00"/>
      <rgbColor rgb="FF00FFFF"/>
      <rgbColor rgb="FF800080"/>
      <rgbColor rgb="FF800000"/>
      <rgbColor rgb="FF008080"/>
      <rgbColor rgb="FF0000FF"/>
      <rgbColor rgb="FF00CCFF"/>
      <rgbColor rgb="FFCCFFFF"/>
      <rgbColor rgb="FFD9E2E0"/>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4B44"/>
      <rgbColor rgb="FF339966"/>
      <rgbColor rgb="FF003300"/>
      <rgbColor rgb="FF333300"/>
      <rgbColor rgb="FF993300"/>
      <rgbColor rgb="FF993366"/>
      <rgbColor rgb="FF333399"/>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false" showRowColHeaders="true" showZeros="true" rightToLeft="false" tabSelected="false" showOutlineSymbols="true" defaultGridColor="true" view="normal" topLeftCell="A7" colorId="64" zoomScale="100" zoomScaleNormal="100" zoomScalePageLayoutView="100" workbookViewId="0">
      <selection pane="topLeft" activeCell="A23" activeCellId="0" sqref="A23"/>
    </sheetView>
  </sheetViews>
  <sheetFormatPr defaultColWidth="8.71484375" defaultRowHeight="14.25" zeroHeight="false" outlineLevelRow="0" outlineLevelCol="0"/>
  <cols>
    <col collapsed="false" customWidth="true" hidden="false" outlineLevel="0" max="1" min="1" style="1" width="255.71"/>
    <col collapsed="false" customWidth="false" hidden="false" outlineLevel="0" max="16384" min="2" style="1" width="8.71"/>
  </cols>
  <sheetData>
    <row r="1" customFormat="false" ht="17.25" hidden="false" customHeight="true" outlineLevel="0" collapsed="false">
      <c r="A1" s="2" t="s">
        <v>0</v>
      </c>
    </row>
    <row r="3" customFormat="false" ht="15" hidden="false" customHeight="true" outlineLevel="0" collapsed="false">
      <c r="A3" s="3" t="s">
        <v>1</v>
      </c>
    </row>
    <row r="4" customFormat="false" ht="45" hidden="false" customHeight="true" outlineLevel="0" collapsed="false">
      <c r="A4" s="4" t="s">
        <v>2</v>
      </c>
    </row>
    <row r="6" customFormat="false" ht="15" hidden="false" customHeight="true" outlineLevel="0" collapsed="false">
      <c r="A6" s="3" t="s">
        <v>3</v>
      </c>
    </row>
    <row r="7" customFormat="false" ht="30" hidden="false" customHeight="true" outlineLevel="0" collapsed="false">
      <c r="A7" s="4" t="s">
        <v>4</v>
      </c>
    </row>
    <row r="8" customFormat="false" ht="30" hidden="false" customHeight="true" outlineLevel="0" collapsed="false">
      <c r="A8" s="4" t="s">
        <v>5</v>
      </c>
    </row>
    <row r="9" customFormat="false" ht="30" hidden="false" customHeight="true" outlineLevel="0" collapsed="false">
      <c r="A9" s="4" t="s">
        <v>6</v>
      </c>
    </row>
    <row r="10" customFormat="false" ht="45" hidden="false" customHeight="true" outlineLevel="0" collapsed="false">
      <c r="A10" s="5" t="s">
        <v>7</v>
      </c>
    </row>
    <row r="11" customFormat="false" ht="45" hidden="false" customHeight="true" outlineLevel="0" collapsed="false">
      <c r="A11" s="5" t="s">
        <v>8</v>
      </c>
    </row>
    <row r="12" customFormat="false" ht="60" hidden="false" customHeight="true" outlineLevel="0" collapsed="false">
      <c r="A12" s="5" t="s">
        <v>9</v>
      </c>
    </row>
    <row r="13" customFormat="false" ht="45" hidden="false" customHeight="true" outlineLevel="0" collapsed="false">
      <c r="A13" s="5" t="s">
        <v>10</v>
      </c>
    </row>
    <row r="14" customFormat="false" ht="27.75" hidden="false" customHeight="true" outlineLevel="0" collapsed="false"/>
    <row r="15" customFormat="false" ht="14.25" hidden="false" customHeight="true" outlineLevel="0" collapsed="false">
      <c r="A15" s="3" t="s">
        <v>11</v>
      </c>
    </row>
    <row r="16" customFormat="false" ht="15" hidden="false" customHeight="true" outlineLevel="0" collapsed="false">
      <c r="A16" s="6" t="s">
        <v>12</v>
      </c>
    </row>
    <row r="17" customFormat="false" ht="45" hidden="false" customHeight="true" outlineLevel="0" collapsed="false">
      <c r="A17" s="6" t="s">
        <v>13</v>
      </c>
    </row>
    <row r="18" customFormat="false" ht="45" hidden="false" customHeight="true" outlineLevel="0" collapsed="false">
      <c r="A18" s="6" t="s">
        <v>14</v>
      </c>
    </row>
    <row r="19" customFormat="false" ht="45" hidden="false" customHeight="true" outlineLevel="0" collapsed="false">
      <c r="A19" s="1" t="s">
        <v>15</v>
      </c>
    </row>
    <row r="20" customFormat="false" ht="45" hidden="false" customHeight="true" outlineLevel="0" collapsed="false"/>
    <row r="21" customFormat="false" ht="14.25" hidden="false" customHeight="true" outlineLevel="0" collapsed="false">
      <c r="A21" s="3" t="s">
        <v>16</v>
      </c>
    </row>
    <row r="22" customFormat="false" ht="14.25" hidden="false" customHeight="true" outlineLevel="0" collapsed="false">
      <c r="A22" s="4" t="s">
        <v>17</v>
      </c>
    </row>
    <row r="23" customFormat="false" ht="14.25" hidden="false" customHeight="true" outlineLevel="0" collapsed="false">
      <c r="A23" s="4" t="s">
        <v>18</v>
      </c>
    </row>
    <row r="24" customFormat="false" ht="14.25" hidden="false" customHeight="true" outlineLevel="0" collapsed="false">
      <c r="A24" s="4" t="s">
        <v>19</v>
      </c>
    </row>
    <row r="25" customFormat="false" ht="14.25" hidden="false" customHeight="true" outlineLevel="0" collapsed="false">
      <c r="A25" s="4" t="s">
        <v>20</v>
      </c>
    </row>
    <row r="26" customFormat="false" ht="45" hidden="false" customHeight="true" outlineLevel="0" collapsed="false">
      <c r="A26" s="7"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H4" activePane="bottomRight" state="frozen"/>
      <selection pane="topLeft" activeCell="A1" activeCellId="0" sqref="A1"/>
      <selection pane="topRight" activeCell="H1" activeCellId="0" sqref="H1"/>
      <selection pane="bottomLeft" activeCell="A4" activeCellId="0" sqref="A4"/>
      <selection pane="bottomRight" activeCell="A5" activeCellId="0" sqref="A5"/>
    </sheetView>
  </sheetViews>
  <sheetFormatPr defaultColWidth="8.71484375" defaultRowHeight="15" zeroHeight="false" outlineLevelRow="0" outlineLevelCol="0"/>
  <cols>
    <col collapsed="false" customWidth="true" hidden="false" outlineLevel="0" max="1" min="1" style="8" width="22"/>
    <col collapsed="false" customWidth="true" hidden="false" outlineLevel="0" max="26" min="2" style="8" width="13"/>
  </cols>
  <sheetData>
    <row r="1" customFormat="false" ht="17.25" hidden="false" customHeight="true" outlineLevel="0" collapsed="false">
      <c r="A1" s="9" t="s">
        <v>22</v>
      </c>
      <c r="B1" s="9"/>
      <c r="C1" s="9"/>
      <c r="D1" s="9"/>
      <c r="E1" s="9"/>
      <c r="F1" s="9"/>
      <c r="G1" s="9"/>
      <c r="H1" s="9"/>
      <c r="I1" s="9"/>
      <c r="J1" s="9"/>
      <c r="K1" s="9"/>
      <c r="L1" s="9"/>
      <c r="M1" s="9"/>
      <c r="N1" s="9"/>
      <c r="O1" s="9"/>
      <c r="P1" s="9"/>
      <c r="Q1" s="9"/>
      <c r="R1" s="9"/>
      <c r="S1" s="9"/>
      <c r="T1" s="9"/>
      <c r="U1" s="9"/>
      <c r="V1" s="9"/>
      <c r="W1" s="9"/>
      <c r="X1" s="9"/>
      <c r="Y1" s="9"/>
      <c r="Z1" s="9"/>
    </row>
    <row r="3" customFormat="false" ht="45" hidden="false" customHeight="true" outlineLevel="0" collapsed="false">
      <c r="A3" s="10" t="s">
        <v>23</v>
      </c>
      <c r="B3" s="10" t="s">
        <v>24</v>
      </c>
      <c r="C3" s="10" t="s">
        <v>25</v>
      </c>
      <c r="D3" s="10" t="s">
        <v>26</v>
      </c>
      <c r="E3" s="10" t="s">
        <v>27</v>
      </c>
      <c r="F3" s="10" t="s">
        <v>28</v>
      </c>
      <c r="G3" s="10" t="s">
        <v>29</v>
      </c>
      <c r="H3" s="10" t="s">
        <v>30</v>
      </c>
      <c r="I3" s="10" t="s">
        <v>31</v>
      </c>
      <c r="J3" s="10" t="s">
        <v>32</v>
      </c>
      <c r="K3" s="10" t="s">
        <v>33</v>
      </c>
      <c r="L3" s="10" t="s">
        <v>34</v>
      </c>
      <c r="M3" s="10" t="s">
        <v>35</v>
      </c>
      <c r="N3" s="10" t="s">
        <v>36</v>
      </c>
      <c r="O3" s="10" t="s">
        <v>37</v>
      </c>
      <c r="P3" s="10" t="s">
        <v>38</v>
      </c>
      <c r="Q3" s="10" t="s">
        <v>39</v>
      </c>
      <c r="R3" s="10" t="s">
        <v>40</v>
      </c>
      <c r="S3" s="10" t="s">
        <v>41</v>
      </c>
      <c r="T3" s="10" t="s">
        <v>42</v>
      </c>
      <c r="U3" s="10" t="s">
        <v>43</v>
      </c>
      <c r="V3" s="10" t="s">
        <v>44</v>
      </c>
      <c r="W3" s="10" t="s">
        <v>45</v>
      </c>
      <c r="X3" s="10" t="s">
        <v>46</v>
      </c>
      <c r="Y3" s="10" t="s">
        <v>47</v>
      </c>
      <c r="Z3" s="10" t="s">
        <v>48</v>
      </c>
    </row>
    <row r="4" customFormat="false" ht="15" hidden="false" customHeight="true" outlineLevel="0" collapsed="false">
      <c r="A4" s="11" t="s">
        <v>49</v>
      </c>
      <c r="B4" s="12" t="n">
        <v>23693</v>
      </c>
      <c r="C4" s="12" t="n">
        <v>26328</v>
      </c>
      <c r="D4" s="12" t="n">
        <v>25995</v>
      </c>
      <c r="E4" s="12" t="n">
        <v>25336</v>
      </c>
      <c r="F4" s="13" t="n">
        <f aca="false">IFERROR(C4/B4-1,"")</f>
        <v>0.111214282699531</v>
      </c>
      <c r="G4" s="13" t="n">
        <f aca="false">IFERROR(D4/C4-1,"")</f>
        <v>-0.0126481312670921</v>
      </c>
      <c r="H4" s="13" t="n">
        <f aca="false">IFERROR(E4/D4-1,"")</f>
        <v>-0.025351029044047</v>
      </c>
      <c r="I4" s="12" t="n">
        <v>4804</v>
      </c>
      <c r="J4" s="12" t="n">
        <v>5528</v>
      </c>
      <c r="K4" s="12" t="n">
        <v>5768</v>
      </c>
      <c r="L4" s="12" t="n">
        <v>5640</v>
      </c>
      <c r="M4" s="13" t="n">
        <f aca="false">IFERROR(I4/B4,"")</f>
        <v>0.202760308952011</v>
      </c>
      <c r="N4" s="13" t="n">
        <f aca="false">IFERROR(J4/C4,"")</f>
        <v>0.209966575508964</v>
      </c>
      <c r="O4" s="13" t="n">
        <f aca="false">IFERROR(K4/D4,"")</f>
        <v>0.221888824773995</v>
      </c>
      <c r="P4" s="13" t="n">
        <f aca="false">IFERROR(L4/E4,"")</f>
        <v>0.222608146510894</v>
      </c>
      <c r="Q4" s="14" t="n">
        <v>-0.013</v>
      </c>
      <c r="R4" s="14" t="n">
        <v>0.116</v>
      </c>
      <c r="S4" s="14" t="n">
        <v>0.103</v>
      </c>
      <c r="T4" s="14" t="n">
        <v>-0.038</v>
      </c>
      <c r="U4" s="14" t="n">
        <v>0.047</v>
      </c>
      <c r="V4" s="14" t="n">
        <v>-0.008</v>
      </c>
      <c r="W4" s="14" t="n">
        <v>0.004</v>
      </c>
      <c r="X4" s="14" t="n">
        <v>-0.005</v>
      </c>
      <c r="Y4" s="14" t="n">
        <v>-0.001</v>
      </c>
      <c r="Z4" s="14" t="n">
        <v>-0.02</v>
      </c>
    </row>
    <row r="5" customFormat="false" ht="15" hidden="false" customHeight="true" outlineLevel="0" collapsed="false">
      <c r="A5" s="11" t="s">
        <v>50</v>
      </c>
      <c r="B5" s="12" t="n">
        <v>18794</v>
      </c>
      <c r="C5" s="12" t="n">
        <v>19128</v>
      </c>
      <c r="D5" s="12" t="n">
        <v>19098</v>
      </c>
      <c r="E5" s="12" t="n">
        <v>18910</v>
      </c>
      <c r="F5" s="13" t="n">
        <f aca="false">IFERROR(C5/B5-1,"")</f>
        <v>0.0177716292433756</v>
      </c>
      <c r="G5" s="13" t="n">
        <f aca="false">IFERROR(D5/C5-1,"")</f>
        <v>-0.00156838143036386</v>
      </c>
      <c r="H5" s="13" t="n">
        <f aca="false">IFERROR(E5/D5-1,"")</f>
        <v>-0.00984396271860932</v>
      </c>
      <c r="I5" s="12" t="n">
        <v>3439</v>
      </c>
      <c r="J5" s="12" t="n">
        <v>3138</v>
      </c>
      <c r="K5" s="12" t="n">
        <v>3127</v>
      </c>
      <c r="L5" s="12" t="n">
        <v>3192</v>
      </c>
      <c r="M5" s="13" t="n">
        <f aca="false">IFERROR(I5/B5,"")</f>
        <v>0.182983931041822</v>
      </c>
      <c r="N5" s="13" t="n">
        <f aca="false">IFERROR(J5/C5,"")</f>
        <v>0.16405269761606</v>
      </c>
      <c r="O5" s="13" t="n">
        <f aca="false">IFERROR(K5/D5,"")</f>
        <v>0.163734422452613</v>
      </c>
      <c r="P5" s="13" t="n">
        <f aca="false">IFERROR(L5/E5,"")</f>
        <v>0.168799576943416</v>
      </c>
      <c r="Q5" s="14" t="n">
        <v>0.009</v>
      </c>
      <c r="R5" s="14" t="n">
        <v>0.064</v>
      </c>
      <c r="S5" s="14" t="n">
        <v>0.072</v>
      </c>
      <c r="T5" s="14" t="n">
        <v>0.021</v>
      </c>
      <c r="U5" s="14" t="n">
        <v>-0.076</v>
      </c>
      <c r="V5" s="14" t="n">
        <v>0.008</v>
      </c>
      <c r="W5" s="14" t="n">
        <v>0.025</v>
      </c>
      <c r="X5" s="14" t="n">
        <v>0.033</v>
      </c>
      <c r="Y5" s="14" t="n">
        <v>-0.019</v>
      </c>
      <c r="Z5" s="14" t="n">
        <v>-0.025</v>
      </c>
    </row>
    <row r="6" customFormat="false" ht="15" hidden="false" customHeight="true" outlineLevel="0" collapsed="false">
      <c r="A6" s="11" t="s">
        <v>51</v>
      </c>
      <c r="B6" s="12" t="n">
        <v>17894</v>
      </c>
      <c r="C6" s="12" t="n">
        <v>18484</v>
      </c>
      <c r="D6" s="12" t="n">
        <v>17519</v>
      </c>
      <c r="E6" s="12" t="n">
        <v>16793</v>
      </c>
      <c r="F6" s="13" t="n">
        <f aca="false">IFERROR(C6/B6-1,"")</f>
        <v>0.0329719459036548</v>
      </c>
      <c r="G6" s="13" t="n">
        <f aca="false">IFERROR(D6/C6-1,"")</f>
        <v>-0.0522073144341052</v>
      </c>
      <c r="H6" s="13" t="n">
        <f aca="false">IFERROR(E6/D6-1,"")</f>
        <v>-0.0414407215023689</v>
      </c>
      <c r="I6" s="12" t="n">
        <v>4288</v>
      </c>
      <c r="J6" s="12" t="n">
        <v>4237</v>
      </c>
      <c r="K6" s="12" t="n">
        <v>4109</v>
      </c>
      <c r="L6" s="12" t="n">
        <v>3916</v>
      </c>
      <c r="M6" s="13" t="n">
        <f aca="false">IFERROR(I6/B6,"")</f>
        <v>0.239633396669275</v>
      </c>
      <c r="N6" s="13" t="n">
        <f aca="false">IFERROR(J6/C6,"")</f>
        <v>0.229225275914304</v>
      </c>
      <c r="O6" s="13" t="n">
        <f aca="false">IFERROR(K6/D6,"")</f>
        <v>0.23454535076203</v>
      </c>
      <c r="P6" s="13" t="n">
        <f aca="false">IFERROR(L6/E6,"")</f>
        <v>0.233192401595903</v>
      </c>
      <c r="Q6" s="14" t="n">
        <v>0.001</v>
      </c>
      <c r="R6" s="14" t="n">
        <v>0.081</v>
      </c>
      <c r="S6" s="14" t="n">
        <v>0.082</v>
      </c>
      <c r="T6" s="14" t="n">
        <v>-0.001</v>
      </c>
      <c r="U6" s="14" t="n">
        <v>-0.049</v>
      </c>
      <c r="V6" s="14" t="n">
        <v>0.006</v>
      </c>
      <c r="W6" s="14" t="n">
        <v>0.028</v>
      </c>
      <c r="X6" s="14" t="n">
        <v>0.034</v>
      </c>
      <c r="Y6" s="14" t="n">
        <v>0</v>
      </c>
      <c r="Z6" s="14" t="n">
        <v>-0.075</v>
      </c>
    </row>
    <row r="7" customFormat="false" ht="15" hidden="false" customHeight="true" outlineLevel="0" collapsed="false">
      <c r="A7" s="11" t="s">
        <v>52</v>
      </c>
      <c r="B7" s="12" t="n">
        <v>10086</v>
      </c>
      <c r="C7" s="12" t="n">
        <v>11819</v>
      </c>
      <c r="D7" s="12" t="n">
        <v>12196</v>
      </c>
      <c r="E7" s="12" t="n">
        <v>11933</v>
      </c>
      <c r="F7" s="13" t="n">
        <f aca="false">IFERROR(C7/B7-1,"")</f>
        <v>0.171822327979377</v>
      </c>
      <c r="G7" s="13" t="n">
        <f aca="false">IFERROR(D7/C7-1,"")</f>
        <v>0.0318977916913445</v>
      </c>
      <c r="H7" s="13" t="n">
        <f aca="false">IFERROR(E7/D7-1,"")</f>
        <v>-0.0215644473597901</v>
      </c>
      <c r="I7" s="12" t="n">
        <v>2208</v>
      </c>
      <c r="J7" s="12" t="n">
        <v>2501</v>
      </c>
      <c r="K7" s="12" t="n">
        <v>2520</v>
      </c>
      <c r="L7" s="12" t="n">
        <v>2429</v>
      </c>
      <c r="M7" s="13" t="n">
        <f aca="false">IFERROR(I7/B7,"")</f>
        <v>0.218917311124331</v>
      </c>
      <c r="N7" s="13" t="n">
        <f aca="false">IFERROR(J7/C7,"")</f>
        <v>0.211608427108892</v>
      </c>
      <c r="O7" s="13" t="n">
        <f aca="false">IFERROR(K7/D7,"")</f>
        <v>0.206625122991145</v>
      </c>
      <c r="P7" s="13" t="n">
        <f aca="false">IFERROR(L7/E7,"")</f>
        <v>0.203553171876309</v>
      </c>
      <c r="Q7" s="14" t="n">
        <v>0.015</v>
      </c>
      <c r="R7" s="14" t="n">
        <v>0.116</v>
      </c>
      <c r="S7" s="14" t="n">
        <v>0.131</v>
      </c>
      <c r="T7" s="14" t="n">
        <v>0.001</v>
      </c>
      <c r="U7" s="14" t="n">
        <v>0.04</v>
      </c>
      <c r="V7" s="14" t="n">
        <v>-0.003</v>
      </c>
      <c r="W7" s="14" t="n">
        <v>0.027</v>
      </c>
      <c r="X7" s="14" t="n">
        <v>0.025</v>
      </c>
      <c r="Y7" s="14" t="n">
        <v>0.004</v>
      </c>
      <c r="Z7" s="14" t="n">
        <v>-0.049</v>
      </c>
    </row>
    <row r="8" customFormat="false" ht="15" hidden="false" customHeight="true" outlineLevel="0" collapsed="false">
      <c r="A8" s="11" t="s">
        <v>53</v>
      </c>
      <c r="B8" s="12" t="n">
        <v>5175</v>
      </c>
      <c r="C8" s="12" t="n">
        <v>5351</v>
      </c>
      <c r="D8" s="12" t="n">
        <v>5037</v>
      </c>
      <c r="E8" s="12" t="n">
        <v>4973</v>
      </c>
      <c r="F8" s="13" t="n">
        <f aca="false">IFERROR(C8/B8-1,"")</f>
        <v>0.0340096618357488</v>
      </c>
      <c r="G8" s="13" t="n">
        <f aca="false">IFERROR(D8/C8-1,"")</f>
        <v>-0.0586806204447767</v>
      </c>
      <c r="H8" s="13" t="n">
        <f aca="false">IFERROR(E8/D8-1,"")</f>
        <v>-0.0127059757792337</v>
      </c>
      <c r="I8" s="12" t="n">
        <v>700</v>
      </c>
      <c r="J8" s="12" t="n">
        <v>862</v>
      </c>
      <c r="K8" s="12" t="n">
        <v>832</v>
      </c>
      <c r="L8" s="12" t="n">
        <v>803</v>
      </c>
      <c r="M8" s="13" t="n">
        <f aca="false">IFERROR(I8/B8,"")</f>
        <v>0.135265700483092</v>
      </c>
      <c r="N8" s="13" t="n">
        <f aca="false">IFERROR(J8/C8,"")</f>
        <v>0.16109138478789</v>
      </c>
      <c r="O8" s="13" t="n">
        <f aca="false">IFERROR(K8/D8,"")</f>
        <v>0.165177685130038</v>
      </c>
      <c r="P8" s="13" t="n">
        <f aca="false">IFERROR(L8/E8,"")</f>
        <v>0.161471948522019</v>
      </c>
      <c r="Q8" s="14" t="n">
        <v>0.01</v>
      </c>
      <c r="R8" s="14" t="n">
        <v>0.025</v>
      </c>
      <c r="S8" s="14" t="n">
        <v>0.035</v>
      </c>
      <c r="T8" s="14" t="n">
        <v>0</v>
      </c>
      <c r="U8" s="14" t="n">
        <v>-0.001</v>
      </c>
      <c r="V8" s="14" t="n">
        <v>0.043</v>
      </c>
      <c r="W8" s="14" t="n">
        <v>-0.021</v>
      </c>
      <c r="X8" s="14" t="n">
        <v>0.021</v>
      </c>
      <c r="Y8" s="14" t="n">
        <v>0.001</v>
      </c>
      <c r="Z8" s="14" t="n">
        <v>-0.035</v>
      </c>
    </row>
    <row r="9" customFormat="false" ht="15" hidden="false" customHeight="true" outlineLevel="0" collapsed="false">
      <c r="A9" s="11" t="s">
        <v>54</v>
      </c>
      <c r="B9" s="12" t="n">
        <v>4822</v>
      </c>
      <c r="C9" s="12" t="n">
        <v>6602</v>
      </c>
      <c r="D9" s="12" t="n">
        <v>6498</v>
      </c>
      <c r="E9" s="12" t="n">
        <v>6739</v>
      </c>
      <c r="F9" s="13" t="n">
        <f aca="false">IFERROR(C9/B9-1,"")</f>
        <v>0.369141435089175</v>
      </c>
      <c r="G9" s="13" t="n">
        <f aca="false">IFERROR(D9/C9-1,"")</f>
        <v>-0.0157528021811573</v>
      </c>
      <c r="H9" s="13" t="n">
        <f aca="false">IFERROR(E9/D9-1,"")</f>
        <v>0.0370883348722684</v>
      </c>
      <c r="I9" s="12" t="n">
        <v>654</v>
      </c>
      <c r="J9" s="12" t="n">
        <v>899</v>
      </c>
      <c r="K9" s="12" t="n">
        <v>777</v>
      </c>
      <c r="L9" s="12" t="n">
        <v>943</v>
      </c>
      <c r="M9" s="13" t="n">
        <f aca="false">IFERROR(I9/B9,"")</f>
        <v>0.135628369970966</v>
      </c>
      <c r="N9" s="13" t="n">
        <f aca="false">IFERROR(J9/C9,"")</f>
        <v>0.136170857315965</v>
      </c>
      <c r="O9" s="13" t="n">
        <f aca="false">IFERROR(K9/D9,"")</f>
        <v>0.119575253924284</v>
      </c>
      <c r="P9" s="13" t="n">
        <f aca="false">IFERROR(L9/E9,"")</f>
        <v>0.139931740614334</v>
      </c>
      <c r="Q9" s="14" t="n">
        <v>0.006</v>
      </c>
      <c r="R9" s="14" t="n">
        <v>0.034</v>
      </c>
      <c r="S9" s="14" t="n">
        <v>0.04</v>
      </c>
      <c r="T9" s="14" t="n">
        <v>0.315</v>
      </c>
      <c r="U9" s="14" t="n">
        <v>0.015</v>
      </c>
      <c r="V9" s="14" t="n">
        <v>0.055</v>
      </c>
      <c r="W9" s="14" t="n">
        <v>0.007</v>
      </c>
      <c r="X9" s="14" t="n">
        <v>0.062</v>
      </c>
      <c r="Y9" s="14" t="n">
        <v>0.002</v>
      </c>
      <c r="Z9" s="14" t="n">
        <v>-0.028</v>
      </c>
    </row>
    <row r="10" customFormat="false" ht="15" hidden="false" customHeight="true" outlineLevel="0" collapsed="false">
      <c r="A10" s="11" t="s">
        <v>55</v>
      </c>
      <c r="B10" s="12" t="n">
        <v>6418</v>
      </c>
      <c r="C10" s="12" t="n">
        <v>6448</v>
      </c>
      <c r="D10" s="12" t="n">
        <v>6372</v>
      </c>
      <c r="E10" s="12" t="n">
        <v>6378</v>
      </c>
      <c r="F10" s="13" t="n">
        <f aca="false">IFERROR(C10/B10-1,"")</f>
        <v>0.00467435338111555</v>
      </c>
      <c r="G10" s="13" t="n">
        <f aca="false">IFERROR(D10/C10-1,"")</f>
        <v>-0.0117866004962779</v>
      </c>
      <c r="H10" s="13" t="n">
        <f aca="false">IFERROR(E10/D10-1,"")</f>
        <v>0.000941619585687281</v>
      </c>
      <c r="I10" s="12" t="n">
        <v>1475</v>
      </c>
      <c r="J10" s="12" t="n">
        <v>1388</v>
      </c>
      <c r="K10" s="12" t="n">
        <v>1291</v>
      </c>
      <c r="L10" s="12" t="n">
        <v>1278</v>
      </c>
      <c r="M10" s="13" t="n">
        <f aca="false">IFERROR(I10/B10,"")</f>
        <v>0.229822374571518</v>
      </c>
      <c r="N10" s="13" t="n">
        <f aca="false">IFERROR(J10/C10,"")</f>
        <v>0.215260545905707</v>
      </c>
      <c r="O10" s="13" t="n">
        <f aca="false">IFERROR(K10/D10,"")</f>
        <v>0.202605147520402</v>
      </c>
      <c r="P10" s="13" t="n">
        <f aca="false">IFERROR(L10/E10,"")</f>
        <v>0.200376293508937</v>
      </c>
      <c r="Q10" s="14" t="n">
        <v>-0.017</v>
      </c>
      <c r="R10" s="14" t="n">
        <v>0.052</v>
      </c>
      <c r="S10" s="14" t="n">
        <v>0.035</v>
      </c>
      <c r="T10" s="14" t="n">
        <v>-0.003</v>
      </c>
      <c r="U10" s="14" t="n">
        <v>-0.027</v>
      </c>
      <c r="V10" s="14" t="n">
        <v>0.016</v>
      </c>
      <c r="W10" s="14" t="n">
        <v>0.006</v>
      </c>
      <c r="X10" s="14" t="n">
        <v>0.022</v>
      </c>
      <c r="Y10" s="14" t="n">
        <v>0.002</v>
      </c>
      <c r="Z10" s="14" t="n">
        <v>-0.024</v>
      </c>
    </row>
    <row r="11" customFormat="false" ht="15" hidden="false" customHeight="true" outlineLevel="0" collapsed="false">
      <c r="A11" s="11" t="s">
        <v>56</v>
      </c>
      <c r="B11" s="12" t="n">
        <v>206</v>
      </c>
      <c r="C11" s="12" t="n">
        <v>264</v>
      </c>
      <c r="D11" s="12" t="n">
        <v>283</v>
      </c>
      <c r="E11" s="12" t="n">
        <v>292</v>
      </c>
      <c r="F11" s="13" t="n">
        <f aca="false">IFERROR(C11/B11-1,"")</f>
        <v>0.281553398058253</v>
      </c>
      <c r="G11" s="13" t="n">
        <f aca="false">IFERROR(D11/C11-1,"")</f>
        <v>0.071969696969697</v>
      </c>
      <c r="H11" s="13" t="n">
        <f aca="false">IFERROR(E11/D11-1,"")</f>
        <v>0.0318021201413428</v>
      </c>
      <c r="I11" s="12" t="n">
        <v>-32</v>
      </c>
      <c r="J11" s="12" t="n">
        <v>-17</v>
      </c>
      <c r="K11" s="12" t="n">
        <v>-12</v>
      </c>
      <c r="L11" s="12" t="n">
        <v>-13</v>
      </c>
      <c r="M11" s="13" t="n">
        <f aca="false">IFERROR(I11/B11,"")</f>
        <v>-0.155339805825243</v>
      </c>
      <c r="N11" s="13" t="n">
        <f aca="false">IFERROR(J11/C11,"")</f>
        <v>-0.0643939393939394</v>
      </c>
      <c r="O11" s="13" t="n">
        <f aca="false">IFERROR(K11/D11,"")</f>
        <v>-0.0424028268551237</v>
      </c>
      <c r="P11" s="13" t="n">
        <f aca="false">IFERROR(L11/E11,"")</f>
        <v>-0.0445205479452055</v>
      </c>
      <c r="Q11" s="14" t="n">
        <v>0.252</v>
      </c>
      <c r="R11" s="14" t="n">
        <v>0.032</v>
      </c>
      <c r="S11" s="14" t="n">
        <v>0.284</v>
      </c>
      <c r="T11" s="14" t="n">
        <v>0</v>
      </c>
      <c r="U11" s="14" t="n">
        <v>-0.001</v>
      </c>
      <c r="V11" s="14" t="n">
        <v>0.053</v>
      </c>
      <c r="W11" s="14" t="n">
        <v>0.013</v>
      </c>
      <c r="X11" s="14" t="n">
        <v>0.066</v>
      </c>
      <c r="Y11" s="14" t="n">
        <v>0</v>
      </c>
      <c r="Z11" s="14" t="n">
        <v>-0.027</v>
      </c>
    </row>
    <row r="12" customFormat="false" ht="15" hidden="false" customHeight="true" outlineLevel="0" collapsed="false">
      <c r="A12" s="15" t="s">
        <v>57</v>
      </c>
      <c r="B12" s="16" t="n">
        <f aca="false">SUM(B4:B11)</f>
        <v>87088</v>
      </c>
      <c r="C12" s="16" t="n">
        <f aca="false">SUM(C4:C11)</f>
        <v>94424</v>
      </c>
      <c r="D12" s="16" t="n">
        <f aca="false">SUM(D4:D11)</f>
        <v>92998</v>
      </c>
      <c r="E12" s="16" t="n">
        <f aca="false">SUM(E4:E11)</f>
        <v>91354</v>
      </c>
      <c r="F12" s="17" t="n">
        <f aca="false">IFERROR(C12/B12-1,"")</f>
        <v>0.0842366342090759</v>
      </c>
      <c r="G12" s="17" t="n">
        <f aca="false">IFERROR(D12/C12-1,"")</f>
        <v>-0.0151020926882995</v>
      </c>
      <c r="H12" s="17" t="n">
        <f aca="false">IFERROR(E12/D12-1,"")</f>
        <v>-0.0176777995225704</v>
      </c>
      <c r="I12" s="18" t="n">
        <v>15119</v>
      </c>
      <c r="J12" s="18" t="n">
        <v>16103</v>
      </c>
      <c r="K12" s="18" t="n">
        <v>16053</v>
      </c>
      <c r="L12" s="18" t="n">
        <v>15704</v>
      </c>
      <c r="M12" s="17" t="n">
        <f aca="false">IFERROR(I12/B12,"")</f>
        <v>0.173606007716333</v>
      </c>
      <c r="N12" s="17" t="n">
        <f aca="false">IFERROR(J12/C12,"")</f>
        <v>0.170539269677201</v>
      </c>
      <c r="O12" s="17" t="n">
        <f aca="false">IFERROR(K12/D12,"")</f>
        <v>0.172616615411084</v>
      </c>
      <c r="P12" s="17" t="n">
        <f aca="false">IFERROR(L12/E12,"")</f>
        <v>0.171902708146332</v>
      </c>
      <c r="Q12" s="19" t="n">
        <v>0.001</v>
      </c>
      <c r="R12" s="19" t="n">
        <v>0.082</v>
      </c>
      <c r="S12" s="19" t="n">
        <v>0.083</v>
      </c>
      <c r="T12" s="19" t="n">
        <v>0.011</v>
      </c>
      <c r="U12" s="19" t="n">
        <v>-0.009</v>
      </c>
      <c r="V12" s="19" t="n">
        <v>0.008</v>
      </c>
      <c r="W12" s="19" t="n">
        <v>0.015</v>
      </c>
      <c r="X12" s="19" t="n">
        <v>0.022</v>
      </c>
      <c r="Y12" s="19" t="n">
        <v>-0.003</v>
      </c>
      <c r="Z12" s="19" t="n">
        <v>-0.037</v>
      </c>
    </row>
    <row r="14" customFormat="false" ht="15" hidden="false" customHeight="true" outlineLevel="0" collapsed="false">
      <c r="A14" s="20" t="s">
        <v>58</v>
      </c>
      <c r="B14" s="20"/>
      <c r="C14" s="20"/>
      <c r="D14" s="20"/>
      <c r="E14" s="20"/>
      <c r="F14" s="20"/>
      <c r="G14" s="20"/>
      <c r="H14" s="20"/>
      <c r="I14" s="20"/>
      <c r="J14" s="20"/>
    </row>
    <row r="15" customFormat="false" ht="30" hidden="false" customHeight="true" outlineLevel="0" collapsed="false">
      <c r="A15" s="21" t="s">
        <v>59</v>
      </c>
      <c r="B15" s="21"/>
      <c r="C15" s="21"/>
      <c r="D15" s="21"/>
      <c r="E15" s="21"/>
      <c r="F15" s="21"/>
      <c r="G15" s="21"/>
      <c r="H15" s="21"/>
      <c r="I15" s="21"/>
      <c r="J15" s="21"/>
      <c r="K15" s="21"/>
      <c r="L15" s="21"/>
      <c r="M15" s="21"/>
      <c r="N15" s="21"/>
    </row>
  </sheetData>
  <mergeCells count="3">
    <mergeCell ref="A1:Z1"/>
    <mergeCell ref="A14:J14"/>
    <mergeCell ref="A15:N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D5" activeCellId="0" sqref="D5"/>
    </sheetView>
  </sheetViews>
  <sheetFormatPr defaultColWidth="8.71484375" defaultRowHeight="15" zeroHeight="false" outlineLevelRow="0" outlineLevelCol="0"/>
  <cols>
    <col collapsed="false" customWidth="true" hidden="false" outlineLevel="0" max="1" min="1" style="8" width="26"/>
    <col collapsed="false" customWidth="true" hidden="false" outlineLevel="0" max="22" min="2" style="8" width="13"/>
  </cols>
  <sheetData>
    <row r="1" customFormat="false" ht="17.25" hidden="false" customHeight="true" outlineLevel="0" collapsed="false">
      <c r="A1" s="9" t="s">
        <v>60</v>
      </c>
      <c r="B1" s="9"/>
      <c r="C1" s="9"/>
      <c r="D1" s="9"/>
      <c r="E1" s="9"/>
      <c r="F1" s="9"/>
      <c r="G1" s="9"/>
      <c r="H1" s="9"/>
      <c r="I1" s="9"/>
      <c r="J1" s="9"/>
      <c r="K1" s="9"/>
      <c r="L1" s="9"/>
      <c r="M1" s="9"/>
      <c r="N1" s="9"/>
      <c r="O1" s="9"/>
      <c r="P1" s="9"/>
      <c r="Q1" s="9"/>
      <c r="R1" s="9"/>
      <c r="S1" s="9"/>
      <c r="T1" s="9"/>
      <c r="U1" s="9"/>
      <c r="V1" s="9"/>
    </row>
    <row r="3" customFormat="false" ht="45" hidden="false" customHeight="true" outlineLevel="0" collapsed="false">
      <c r="A3" s="10" t="s">
        <v>61</v>
      </c>
      <c r="B3" s="10" t="s">
        <v>24</v>
      </c>
      <c r="C3" s="10" t="s">
        <v>25</v>
      </c>
      <c r="D3" s="10" t="s">
        <v>26</v>
      </c>
      <c r="E3" s="10" t="s">
        <v>27</v>
      </c>
      <c r="F3" s="10" t="s">
        <v>28</v>
      </c>
      <c r="G3" s="10" t="s">
        <v>29</v>
      </c>
      <c r="H3" s="10" t="s">
        <v>30</v>
      </c>
      <c r="I3" s="10" t="s">
        <v>31</v>
      </c>
      <c r="J3" s="10" t="s">
        <v>32</v>
      </c>
      <c r="K3" s="10" t="s">
        <v>33</v>
      </c>
      <c r="L3" s="10" t="s">
        <v>34</v>
      </c>
      <c r="M3" s="10" t="s">
        <v>35</v>
      </c>
      <c r="N3" s="10" t="s">
        <v>36</v>
      </c>
      <c r="O3" s="10" t="s">
        <v>37</v>
      </c>
      <c r="P3" s="10" t="s">
        <v>38</v>
      </c>
      <c r="Q3" s="10" t="s">
        <v>39</v>
      </c>
      <c r="R3" s="10" t="s">
        <v>40</v>
      </c>
      <c r="S3" s="10" t="s">
        <v>41</v>
      </c>
      <c r="T3" s="10" t="s">
        <v>44</v>
      </c>
      <c r="U3" s="10" t="s">
        <v>45</v>
      </c>
      <c r="V3" s="10" t="s">
        <v>46</v>
      </c>
    </row>
    <row r="4" customFormat="false" ht="15" hidden="false" customHeight="true" outlineLevel="0" collapsed="false">
      <c r="A4" s="11" t="s">
        <v>62</v>
      </c>
      <c r="B4" s="12" t="n">
        <v>23975</v>
      </c>
      <c r="C4" s="12" t="n">
        <v>25218</v>
      </c>
      <c r="D4" s="12" t="n">
        <v>24786</v>
      </c>
      <c r="E4" s="12" t="n">
        <v>24598</v>
      </c>
      <c r="F4" s="13" t="n">
        <f aca="false">IFERROR(C4/B4-1,"")</f>
        <v>0.0518456725755996</v>
      </c>
      <c r="G4" s="13" t="n">
        <f aca="false">IFERROR(D4/C4-1,"")</f>
        <v>-0.0171306209850107</v>
      </c>
      <c r="H4" s="13" t="n">
        <f aca="false">IFERROR(E4/D4-1,"")</f>
        <v>-0.0075849269749052</v>
      </c>
      <c r="I4" s="12" t="n">
        <v>5631</v>
      </c>
      <c r="J4" s="12" t="n">
        <v>5593</v>
      </c>
      <c r="K4" s="12" t="n">
        <v>5130</v>
      </c>
      <c r="L4" s="12" t="n">
        <v>4920</v>
      </c>
      <c r="M4" s="13" t="n">
        <f aca="false">IFERROR(I4/B4,"")</f>
        <v>0.234869655891554</v>
      </c>
      <c r="N4" s="13" t="n">
        <f aca="false">IFERROR(J4/C4,"")</f>
        <v>0.221786025854548</v>
      </c>
      <c r="O4" s="13" t="n">
        <f aca="false">IFERROR(K4/D4,"")</f>
        <v>0.206971677559913</v>
      </c>
      <c r="P4" s="13" t="n">
        <f aca="false">IFERROR(L4/E4,"")</f>
        <v>0.200016261484674</v>
      </c>
      <c r="Q4" s="14" t="n">
        <v>0.002</v>
      </c>
      <c r="R4" s="14" t="n">
        <v>0.078</v>
      </c>
      <c r="S4" s="14" t="n">
        <v>0.08</v>
      </c>
      <c r="T4" s="14" t="n">
        <v>0.016</v>
      </c>
      <c r="U4" s="14" t="n">
        <v>0.017</v>
      </c>
      <c r="V4" s="14" t="n">
        <v>0.033</v>
      </c>
    </row>
    <row r="5" customFormat="false" ht="15" hidden="false" customHeight="true" outlineLevel="0" collapsed="false">
      <c r="A5" s="11" t="s">
        <v>63</v>
      </c>
      <c r="B5" s="12" t="n">
        <v>4040</v>
      </c>
      <c r="C5" s="12" t="n">
        <v>3536</v>
      </c>
      <c r="D5" s="12" t="n">
        <v>3320</v>
      </c>
      <c r="E5" s="12" t="n">
        <v>3180</v>
      </c>
      <c r="F5" s="13" t="n">
        <f aca="false">IFERROR(C5/B5-1,"")</f>
        <v>-0.124752475247525</v>
      </c>
      <c r="G5" s="13" t="n">
        <f aca="false">IFERROR(D5/C5-1,"")</f>
        <v>-0.0610859728506787</v>
      </c>
      <c r="H5" s="13" t="n">
        <f aca="false">IFERROR(E5/D5-1,"")</f>
        <v>-0.0421686746987952</v>
      </c>
      <c r="I5" s="12" t="n">
        <v>364</v>
      </c>
      <c r="J5" s="12" t="n">
        <v>277</v>
      </c>
      <c r="K5" s="12" t="n">
        <v>351</v>
      </c>
      <c r="L5" s="12" t="n">
        <v>297</v>
      </c>
      <c r="M5" s="13" t="n">
        <f aca="false">IFERROR(I5/B5,"")</f>
        <v>0.0900990099009901</v>
      </c>
      <c r="N5" s="13" t="n">
        <f aca="false">IFERROR(J5/C5,"")</f>
        <v>0.0783371040723982</v>
      </c>
      <c r="O5" s="13" t="n">
        <f aca="false">IFERROR(K5/D5,"")</f>
        <v>0.105722891566265</v>
      </c>
      <c r="P5" s="13" t="n">
        <f aca="false">IFERROR(L5/E5,"")</f>
        <v>0.0933962264150943</v>
      </c>
      <c r="Q5" s="14" t="n">
        <v>0.022</v>
      </c>
      <c r="R5" s="14" t="n">
        <v>0.089</v>
      </c>
      <c r="S5" s="14" t="n">
        <v>0.11</v>
      </c>
      <c r="T5" s="14" t="n">
        <v>-0.01</v>
      </c>
      <c r="U5" s="14" t="n">
        <v>0.032</v>
      </c>
      <c r="V5" s="14" t="n">
        <v>0.023</v>
      </c>
    </row>
    <row r="6" customFormat="false" ht="15" hidden="false" customHeight="true" outlineLevel="0" collapsed="false">
      <c r="A6" s="11" t="s">
        <v>64</v>
      </c>
      <c r="B6" s="12" t="n">
        <v>10700</v>
      </c>
      <c r="C6" s="12" t="n">
        <v>11289</v>
      </c>
      <c r="D6" s="12" t="n">
        <v>10981</v>
      </c>
      <c r="E6" s="12" t="n">
        <v>10397</v>
      </c>
      <c r="F6" s="13" t="n">
        <f aca="false">IFERROR(C6/B6-1,"")</f>
        <v>0.0550467289719627</v>
      </c>
      <c r="G6" s="13" t="n">
        <f aca="false">IFERROR(D6/C6-1,"")</f>
        <v>-0.0272831960315352</v>
      </c>
      <c r="H6" s="13" t="n">
        <f aca="false">IFERROR(E6/D6-1,"")</f>
        <v>-0.0531827702395046</v>
      </c>
      <c r="I6" s="12" t="n">
        <v>2707</v>
      </c>
      <c r="J6" s="12" t="n">
        <v>2568</v>
      </c>
      <c r="K6" s="12" t="n">
        <v>2688</v>
      </c>
      <c r="L6" s="12" t="n">
        <v>2442</v>
      </c>
      <c r="M6" s="13" t="n">
        <f aca="false">IFERROR(I6/B6,"")</f>
        <v>0.252990654205607</v>
      </c>
      <c r="N6" s="13" t="n">
        <f aca="false">IFERROR(J6/C6,"")</f>
        <v>0.227478076003189</v>
      </c>
      <c r="O6" s="13" t="n">
        <f aca="false">IFERROR(K6/D6,"")</f>
        <v>0.244786449321555</v>
      </c>
      <c r="P6" s="13" t="n">
        <f aca="false">IFERROR(L6/E6,"")</f>
        <v>0.234875444839858</v>
      </c>
      <c r="Q6" s="14" t="n">
        <v>-0.043</v>
      </c>
      <c r="R6" s="14" t="n">
        <v>0.096</v>
      </c>
      <c r="S6" s="14" t="n">
        <v>0.054</v>
      </c>
      <c r="T6" s="14" t="n">
        <v>-0.007</v>
      </c>
      <c r="U6" s="14" t="n">
        <v>0.001</v>
      </c>
      <c r="V6" s="14" t="n">
        <v>-0.006</v>
      </c>
    </row>
    <row r="7" customFormat="false" ht="15" hidden="false" customHeight="true" outlineLevel="0" collapsed="false">
      <c r="A7" s="11" t="s">
        <v>65</v>
      </c>
      <c r="B7" s="12" t="n">
        <v>13157</v>
      </c>
      <c r="C7" s="12" t="n">
        <v>15678</v>
      </c>
      <c r="D7" s="12" t="n">
        <v>15278</v>
      </c>
      <c r="E7" s="12" t="n">
        <v>15137</v>
      </c>
      <c r="F7" s="13" t="n">
        <f aca="false">IFERROR(C7/B7-1,"")</f>
        <v>0.191609029414</v>
      </c>
      <c r="G7" s="13" t="n">
        <f aca="false">IFERROR(D7/C7-1,"")</f>
        <v>-0.0255134583492792</v>
      </c>
      <c r="H7" s="13" t="n">
        <f aca="false">IFERROR(E7/D7-1,"")</f>
        <v>-0.00922895666972112</v>
      </c>
      <c r="I7" s="12" t="n">
        <v>2307</v>
      </c>
      <c r="J7" s="12" t="n">
        <v>2990</v>
      </c>
      <c r="K7" s="12" t="n">
        <v>2831</v>
      </c>
      <c r="L7" s="12" t="n">
        <v>3006</v>
      </c>
      <c r="M7" s="13" t="n">
        <f aca="false">IFERROR(I7/B7,"")</f>
        <v>0.17534392338679</v>
      </c>
      <c r="N7" s="13" t="n">
        <f aca="false">IFERROR(J7/C7,"")</f>
        <v>0.190713101160862</v>
      </c>
      <c r="O7" s="13" t="n">
        <f aca="false">IFERROR(K7/D7,"")</f>
        <v>0.185299122921848</v>
      </c>
      <c r="P7" s="13" t="n">
        <f aca="false">IFERROR(L7/E7,"")</f>
        <v>0.198586245623307</v>
      </c>
      <c r="Q7" s="14" t="n">
        <v>0.017</v>
      </c>
      <c r="R7" s="14" t="n">
        <v>0.057</v>
      </c>
      <c r="S7" s="14" t="n">
        <v>0.074</v>
      </c>
      <c r="T7" s="14" t="n">
        <v>0.019</v>
      </c>
      <c r="U7" s="14" t="n">
        <v>0.009</v>
      </c>
      <c r="V7" s="14" t="n">
        <v>0.028</v>
      </c>
    </row>
    <row r="8" customFormat="false" ht="15" hidden="false" customHeight="true" outlineLevel="0" collapsed="false">
      <c r="A8" s="11" t="s">
        <v>66</v>
      </c>
      <c r="B8" s="12" t="n">
        <v>12146</v>
      </c>
      <c r="C8" s="12" t="n">
        <v>12484</v>
      </c>
      <c r="D8" s="12" t="n">
        <v>11666</v>
      </c>
      <c r="E8" s="12" t="n">
        <v>10711</v>
      </c>
      <c r="F8" s="13" t="n">
        <f aca="false">IFERROR(C8/B8-1,"")</f>
        <v>0.0278280915527747</v>
      </c>
      <c r="G8" s="13" t="n">
        <f aca="false">IFERROR(D8/C8-1,"")</f>
        <v>-0.0655238705543095</v>
      </c>
      <c r="H8" s="13" t="n">
        <f aca="false">IFERROR(E8/D8-1,"")</f>
        <v>-0.0818618206754672</v>
      </c>
      <c r="I8" s="12" t="n">
        <v>2040</v>
      </c>
      <c r="J8" s="12" t="n">
        <v>2038</v>
      </c>
      <c r="K8" s="12" t="n">
        <v>2136</v>
      </c>
      <c r="L8" s="12" t="n">
        <v>2137</v>
      </c>
      <c r="M8" s="13" t="n">
        <f aca="false">IFERROR(I8/B8,"")</f>
        <v>0.167956528898403</v>
      </c>
      <c r="N8" s="13" t="n">
        <f aca="false">IFERROR(J8/C8,"")</f>
        <v>0.163248958667094</v>
      </c>
      <c r="O8" s="13" t="n">
        <f aca="false">IFERROR(K8/D8,"")</f>
        <v>0.183096176924396</v>
      </c>
      <c r="P8" s="13" t="n">
        <f aca="false">IFERROR(L8/E8,"")</f>
        <v>0.199514517785454</v>
      </c>
      <c r="Q8" s="14" t="n">
        <v>-0.069</v>
      </c>
      <c r="R8" s="14" t="n">
        <v>0.1</v>
      </c>
      <c r="S8" s="14" t="n">
        <v>0.031</v>
      </c>
      <c r="T8" s="14" t="n">
        <v>-0.022</v>
      </c>
      <c r="U8" s="14" t="n">
        <v>0.005</v>
      </c>
      <c r="V8" s="14" t="n">
        <v>-0.017</v>
      </c>
    </row>
    <row r="9" customFormat="false" ht="15" hidden="false" customHeight="true" outlineLevel="0" collapsed="false">
      <c r="A9" s="11" t="s">
        <v>67</v>
      </c>
      <c r="B9" s="12" t="n">
        <v>7514</v>
      </c>
      <c r="C9" s="12" t="n">
        <v>8118</v>
      </c>
      <c r="D9" s="12" t="n">
        <v>8107</v>
      </c>
      <c r="E9" s="12" t="n">
        <v>8449</v>
      </c>
      <c r="F9" s="13" t="n">
        <f aca="false">IFERROR(C9/B9-1,"")</f>
        <v>0.0803832845355337</v>
      </c>
      <c r="G9" s="13" t="n">
        <f aca="false">IFERROR(D9/C9-1,"")</f>
        <v>-0.00135501355013545</v>
      </c>
      <c r="H9" s="13" t="n">
        <f aca="false">IFERROR(E9/D9-1,"")</f>
        <v>0.0421857653879363</v>
      </c>
      <c r="I9" s="12" t="n">
        <v>1205</v>
      </c>
      <c r="J9" s="12" t="n">
        <v>1364</v>
      </c>
      <c r="K9" s="12" t="n">
        <v>1364</v>
      </c>
      <c r="L9" s="12" t="n">
        <v>1299</v>
      </c>
      <c r="M9" s="13" t="n">
        <f aca="false">IFERROR(I9/B9,"")</f>
        <v>0.160367314346553</v>
      </c>
      <c r="N9" s="13" t="n">
        <f aca="false">IFERROR(J9/C9,"")</f>
        <v>0.168021680216802</v>
      </c>
      <c r="O9" s="13" t="n">
        <f aca="false">IFERROR(K9/D9,"")</f>
        <v>0.168249660786974</v>
      </c>
      <c r="P9" s="13" t="n">
        <f aca="false">IFERROR(L9/E9,"")</f>
        <v>0.153746005444431</v>
      </c>
      <c r="Q9" s="14" t="n">
        <v>0.048</v>
      </c>
      <c r="R9" s="14" t="n">
        <v>0.047</v>
      </c>
      <c r="S9" s="14" t="n">
        <v>0.094</v>
      </c>
      <c r="T9" s="14" t="n">
        <v>-0.002</v>
      </c>
      <c r="U9" s="14" t="n">
        <v>0.064</v>
      </c>
      <c r="V9" s="14" t="n">
        <v>0.062</v>
      </c>
    </row>
    <row r="10" customFormat="false" ht="15" hidden="false" customHeight="true" outlineLevel="0" collapsed="false">
      <c r="A10" s="11" t="s">
        <v>68</v>
      </c>
      <c r="B10" s="12" t="n">
        <v>15556</v>
      </c>
      <c r="C10" s="12" t="n">
        <v>18101</v>
      </c>
      <c r="D10" s="12" t="n">
        <v>18860</v>
      </c>
      <c r="E10" s="12" t="n">
        <v>18882</v>
      </c>
      <c r="F10" s="13" t="n">
        <f aca="false">IFERROR(C10/B10-1,"")</f>
        <v>0.1636024685009</v>
      </c>
      <c r="G10" s="13" t="n">
        <f aca="false">IFERROR(D10/C10-1,"")</f>
        <v>0.0419313850063532</v>
      </c>
      <c r="H10" s="13" t="n">
        <f aca="false">IFERROR(E10/D10-1,"")</f>
        <v>0.00116648992576884</v>
      </c>
      <c r="I10" s="12" t="n">
        <v>3282</v>
      </c>
      <c r="J10" s="12" t="n">
        <v>3706</v>
      </c>
      <c r="K10" s="12" t="n">
        <v>3912</v>
      </c>
      <c r="L10" s="12" t="n">
        <v>4087</v>
      </c>
      <c r="M10" s="13" t="n">
        <f aca="false">IFERROR(I10/B10,"")</f>
        <v>0.210979686294677</v>
      </c>
      <c r="N10" s="13" t="n">
        <f aca="false">IFERROR(J10/C10,"")</f>
        <v>0.204740069609414</v>
      </c>
      <c r="O10" s="13" t="n">
        <f aca="false">IFERROR(K10/D10,"")</f>
        <v>0.207423117709438</v>
      </c>
      <c r="P10" s="13" t="n">
        <f aca="false">IFERROR(L10/E10,"")</f>
        <v>0.216449528651626</v>
      </c>
      <c r="Q10" s="14" t="n">
        <v>0.043</v>
      </c>
      <c r="R10" s="14" t="n">
        <v>0.102</v>
      </c>
      <c r="S10" s="14" t="n">
        <v>0.145</v>
      </c>
      <c r="T10" s="14" t="n">
        <v>0.021</v>
      </c>
      <c r="U10" s="14" t="n">
        <v>0.006</v>
      </c>
      <c r="V10" s="14" t="n">
        <v>0.027</v>
      </c>
    </row>
    <row r="11" customFormat="false" ht="15" hidden="false" customHeight="true" outlineLevel="0" collapsed="false">
      <c r="A11" s="15" t="s">
        <v>57</v>
      </c>
      <c r="B11" s="16" t="n">
        <f aca="false">SUM(B4:B10)</f>
        <v>87088</v>
      </c>
      <c r="C11" s="16" t="n">
        <f aca="false">SUM(C4:C10)</f>
        <v>94424</v>
      </c>
      <c r="D11" s="16" t="n">
        <f aca="false">SUM(D4:D10)</f>
        <v>92998</v>
      </c>
      <c r="E11" s="16" t="n">
        <f aca="false">SUM(E4:E10)</f>
        <v>91354</v>
      </c>
      <c r="F11" s="17" t="n">
        <f aca="false">IFERROR(C11/B11-1,"")</f>
        <v>0.0842366342090759</v>
      </c>
      <c r="G11" s="17" t="n">
        <f aca="false">IFERROR(D11/C11-1,"")</f>
        <v>-0.0151020926882995</v>
      </c>
      <c r="H11" s="17" t="n">
        <f aca="false">IFERROR(E11/D11-1,"")</f>
        <v>-0.0176777995225704</v>
      </c>
      <c r="I11" s="18" t="n">
        <v>15119</v>
      </c>
      <c r="J11" s="18" t="n">
        <v>16103</v>
      </c>
      <c r="K11" s="18" t="n">
        <v>16053</v>
      </c>
      <c r="L11" s="18" t="n">
        <v>15704</v>
      </c>
      <c r="M11" s="17" t="n">
        <f aca="false">IFERROR(I11/B11,"")</f>
        <v>0.173606007716333</v>
      </c>
      <c r="N11" s="17" t="n">
        <f aca="false">IFERROR(J11/C11,"")</f>
        <v>0.170539269677201</v>
      </c>
      <c r="O11" s="17" t="n">
        <f aca="false">IFERROR(K11/D11,"")</f>
        <v>0.172616615411084</v>
      </c>
      <c r="P11" s="17" t="n">
        <f aca="false">IFERROR(L11/E11,"")</f>
        <v>0.171902708146332</v>
      </c>
      <c r="Q11" s="22"/>
      <c r="R11" s="22"/>
      <c r="S11" s="22"/>
      <c r="T11" s="22"/>
      <c r="U11" s="22"/>
      <c r="V11" s="22"/>
    </row>
    <row r="13" customFormat="false" ht="15" hidden="false" customHeight="true" outlineLevel="0" collapsed="false">
      <c r="A13" s="20" t="s">
        <v>69</v>
      </c>
      <c r="B13" s="20"/>
      <c r="C13" s="20"/>
      <c r="D13" s="20"/>
      <c r="E13" s="20"/>
      <c r="F13" s="20"/>
      <c r="G13" s="20"/>
      <c r="H13" s="20"/>
      <c r="I13" s="20"/>
      <c r="J13" s="20"/>
    </row>
    <row r="14" customFormat="false" ht="27.75" hidden="false" customHeight="true" outlineLevel="0" collapsed="false">
      <c r="A14" s="21" t="s">
        <v>70</v>
      </c>
      <c r="B14" s="21"/>
      <c r="C14" s="21"/>
      <c r="D14" s="21"/>
      <c r="E14" s="21"/>
      <c r="F14" s="21"/>
      <c r="G14" s="21"/>
      <c r="H14" s="21"/>
      <c r="I14" s="21"/>
      <c r="J14" s="21"/>
      <c r="K14" s="21"/>
      <c r="L14" s="21"/>
      <c r="M14" s="21"/>
      <c r="N14" s="21"/>
    </row>
  </sheetData>
  <mergeCells count="3">
    <mergeCell ref="A1:V1"/>
    <mergeCell ref="A13:J13"/>
    <mergeCell ref="A14:N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71484375" defaultRowHeight="15" zeroHeight="false" outlineLevelRow="0" outlineLevelCol="0"/>
  <cols>
    <col collapsed="false" customWidth="true" hidden="false" outlineLevel="0" max="1" min="1" style="8" width="22"/>
    <col collapsed="false" customWidth="true" hidden="false" outlineLevel="0" max="14" min="2" style="8" width="15"/>
  </cols>
  <sheetData>
    <row r="1" customFormat="false" ht="17.25" hidden="false" customHeight="true" outlineLevel="0" collapsed="false">
      <c r="A1" s="9" t="s">
        <v>71</v>
      </c>
      <c r="B1" s="9"/>
      <c r="C1" s="9"/>
      <c r="D1" s="9"/>
      <c r="E1" s="9"/>
      <c r="F1" s="9"/>
      <c r="G1" s="9"/>
      <c r="H1" s="9"/>
      <c r="I1" s="9"/>
      <c r="J1" s="9"/>
      <c r="K1" s="9"/>
      <c r="L1" s="9"/>
      <c r="M1" s="9"/>
      <c r="N1" s="9"/>
    </row>
    <row r="2" customFormat="false" ht="15" hidden="false" customHeight="true" outlineLevel="0" collapsed="false">
      <c r="A2" s="20" t="s">
        <v>72</v>
      </c>
      <c r="B2" s="20"/>
      <c r="C2" s="20"/>
      <c r="D2" s="20"/>
      <c r="E2" s="20"/>
      <c r="F2" s="20"/>
      <c r="G2" s="20"/>
      <c r="H2" s="20"/>
      <c r="I2" s="20"/>
      <c r="J2" s="20"/>
      <c r="K2" s="20"/>
      <c r="L2" s="20"/>
      <c r="M2" s="20"/>
      <c r="N2" s="20"/>
    </row>
    <row r="4" customFormat="false" ht="45" hidden="false" customHeight="true" outlineLevel="0" collapsed="false">
      <c r="A4" s="10" t="s">
        <v>23</v>
      </c>
      <c r="B4" s="10" t="s">
        <v>73</v>
      </c>
      <c r="C4" s="10" t="s">
        <v>26</v>
      </c>
      <c r="D4" s="10" t="s">
        <v>74</v>
      </c>
      <c r="E4" s="10" t="s">
        <v>75</v>
      </c>
      <c r="F4" s="10" t="s">
        <v>27</v>
      </c>
      <c r="G4" s="10" t="s">
        <v>76</v>
      </c>
      <c r="H4" s="10" t="s">
        <v>77</v>
      </c>
      <c r="I4" s="10" t="s">
        <v>33</v>
      </c>
      <c r="J4" s="10" t="s">
        <v>78</v>
      </c>
      <c r="K4" s="10" t="s">
        <v>79</v>
      </c>
      <c r="L4" s="10" t="s">
        <v>34</v>
      </c>
      <c r="M4" s="10" t="s">
        <v>80</v>
      </c>
      <c r="N4" s="10" t="s">
        <v>81</v>
      </c>
    </row>
    <row r="5" customFormat="false" ht="15" hidden="false" customHeight="true" outlineLevel="0" collapsed="false">
      <c r="A5" s="11" t="s">
        <v>49</v>
      </c>
      <c r="B5" s="12" t="n">
        <v>12553</v>
      </c>
      <c r="C5" s="23" t="n">
        <f aca="false">Segment_Data!D4</f>
        <v>25995</v>
      </c>
      <c r="D5" s="24" t="n">
        <f aca="false">C5-B5</f>
        <v>13442</v>
      </c>
      <c r="E5" s="12" t="n">
        <v>12234</v>
      </c>
      <c r="F5" s="23" t="n">
        <f aca="false">Segment_Data!E4</f>
        <v>25336</v>
      </c>
      <c r="G5" s="24" t="n">
        <f aca="false">F5-E5</f>
        <v>13102</v>
      </c>
      <c r="H5" s="12" t="n">
        <v>2713</v>
      </c>
      <c r="I5" s="23" t="n">
        <f aca="false">Segment_Data!K4</f>
        <v>5768</v>
      </c>
      <c r="J5" s="24" t="n">
        <f aca="false">I5-H5</f>
        <v>3055</v>
      </c>
      <c r="K5" s="12" t="n">
        <v>2662</v>
      </c>
      <c r="L5" s="23" t="n">
        <f aca="false">Segment_Data!L4</f>
        <v>5640</v>
      </c>
      <c r="M5" s="24" t="n">
        <f aca="false">L5-K5</f>
        <v>2978</v>
      </c>
      <c r="N5" s="13" t="n">
        <f aca="false">IFERROR(G5/D5-1,"")</f>
        <v>-0.0252938550810892</v>
      </c>
    </row>
    <row r="6" customFormat="false" ht="15" hidden="false" customHeight="true" outlineLevel="0" collapsed="false">
      <c r="A6" s="11" t="s">
        <v>50</v>
      </c>
      <c r="B6" s="12" t="n">
        <v>9467</v>
      </c>
      <c r="C6" s="23" t="n">
        <f aca="false">Segment_Data!D5</f>
        <v>19098</v>
      </c>
      <c r="D6" s="24" t="n">
        <f aca="false">C6-B6</f>
        <v>9631</v>
      </c>
      <c r="E6" s="12" t="n">
        <v>9283</v>
      </c>
      <c r="F6" s="23" t="n">
        <f aca="false">Segment_Data!E5</f>
        <v>18910</v>
      </c>
      <c r="G6" s="24" t="n">
        <f aca="false">F6-E6</f>
        <v>9627</v>
      </c>
      <c r="H6" s="12" t="n">
        <v>1570</v>
      </c>
      <c r="I6" s="23" t="n">
        <f aca="false">Segment_Data!K5</f>
        <v>3127</v>
      </c>
      <c r="J6" s="24" t="n">
        <f aca="false">I6-H6</f>
        <v>1557</v>
      </c>
      <c r="K6" s="12" t="n">
        <v>1644</v>
      </c>
      <c r="L6" s="23" t="n">
        <f aca="false">Segment_Data!L5</f>
        <v>3192</v>
      </c>
      <c r="M6" s="24" t="n">
        <f aca="false">L6-K6</f>
        <v>1548</v>
      </c>
      <c r="N6" s="13" t="n">
        <f aca="false">IFERROR(G6/D6-1,"")</f>
        <v>-0.00041532551136958</v>
      </c>
    </row>
    <row r="7" customFormat="false" ht="15" hidden="false" customHeight="true" outlineLevel="0" collapsed="false">
      <c r="A7" s="11" t="s">
        <v>51</v>
      </c>
      <c r="B7" s="12" t="n">
        <v>9060</v>
      </c>
      <c r="C7" s="23" t="n">
        <f aca="false">Segment_Data!D6</f>
        <v>17519</v>
      </c>
      <c r="D7" s="24" t="n">
        <f aca="false">C7-B7</f>
        <v>8459</v>
      </c>
      <c r="E7" s="12" t="n">
        <v>8441</v>
      </c>
      <c r="F7" s="23" t="n">
        <f aca="false">Segment_Data!E6</f>
        <v>16793</v>
      </c>
      <c r="G7" s="24" t="n">
        <f aca="false">F7-E7</f>
        <v>8352</v>
      </c>
      <c r="H7" s="12" t="n">
        <v>2068</v>
      </c>
      <c r="I7" s="23" t="n">
        <f aca="false">Segment_Data!K6</f>
        <v>4109</v>
      </c>
      <c r="J7" s="24" t="n">
        <f aca="false">I7-H7</f>
        <v>2041</v>
      </c>
      <c r="K7" s="12" t="n">
        <v>2006</v>
      </c>
      <c r="L7" s="23" t="n">
        <f aca="false">Segment_Data!L6</f>
        <v>3916</v>
      </c>
      <c r="M7" s="24" t="n">
        <f aca="false">L7-K7</f>
        <v>1910</v>
      </c>
      <c r="N7" s="13" t="n">
        <f aca="false">IFERROR(G7/D7-1,"")</f>
        <v>-0.0126492493202506</v>
      </c>
    </row>
    <row r="8" customFormat="false" ht="15" hidden="false" customHeight="true" outlineLevel="0" collapsed="false">
      <c r="A8" s="11" t="s">
        <v>52</v>
      </c>
      <c r="B8" s="12" t="n">
        <v>6082</v>
      </c>
      <c r="C8" s="23" t="n">
        <f aca="false">Segment_Data!D7</f>
        <v>12196</v>
      </c>
      <c r="D8" s="24" t="n">
        <f aca="false">C8-B8</f>
        <v>6114</v>
      </c>
      <c r="E8" s="12" t="n">
        <v>6166</v>
      </c>
      <c r="F8" s="23" t="n">
        <f aca="false">Segment_Data!E7</f>
        <v>11933</v>
      </c>
      <c r="G8" s="24" t="n">
        <f aca="false">F8-E8</f>
        <v>5767</v>
      </c>
      <c r="H8" s="12" t="n">
        <v>1202</v>
      </c>
      <c r="I8" s="23" t="n">
        <f aca="false">Segment_Data!K7</f>
        <v>2520</v>
      </c>
      <c r="J8" s="24" t="n">
        <f aca="false">I8-H8</f>
        <v>1318</v>
      </c>
      <c r="K8" s="12" t="n">
        <v>1219</v>
      </c>
      <c r="L8" s="23" t="n">
        <f aca="false">Segment_Data!L7</f>
        <v>2429</v>
      </c>
      <c r="M8" s="24" t="n">
        <f aca="false">L8-K8</f>
        <v>1210</v>
      </c>
      <c r="N8" s="13" t="n">
        <f aca="false">IFERROR(G8/D8-1,"")</f>
        <v>-0.0567549885508669</v>
      </c>
    </row>
    <row r="9" customFormat="false" ht="15" hidden="false" customHeight="true" outlineLevel="0" collapsed="false">
      <c r="A9" s="11" t="s">
        <v>53</v>
      </c>
      <c r="B9" s="12" t="n">
        <v>2548</v>
      </c>
      <c r="C9" s="23" t="n">
        <f aca="false">Segment_Data!D8</f>
        <v>5037</v>
      </c>
      <c r="D9" s="24" t="n">
        <f aca="false">C9-B9</f>
        <v>2489</v>
      </c>
      <c r="E9" s="12" t="n">
        <v>2440</v>
      </c>
      <c r="F9" s="23" t="n">
        <f aca="false">Segment_Data!E8</f>
        <v>4973</v>
      </c>
      <c r="G9" s="24" t="n">
        <f aca="false">F9-E9</f>
        <v>2533</v>
      </c>
      <c r="H9" s="12" t="n">
        <v>422</v>
      </c>
      <c r="I9" s="23" t="n">
        <f aca="false">Segment_Data!K8</f>
        <v>832</v>
      </c>
      <c r="J9" s="24" t="n">
        <f aca="false">I9-H9</f>
        <v>410</v>
      </c>
      <c r="K9" s="12" t="n">
        <v>386</v>
      </c>
      <c r="L9" s="23" t="n">
        <f aca="false">Segment_Data!L8</f>
        <v>803</v>
      </c>
      <c r="M9" s="24" t="n">
        <f aca="false">L9-K9</f>
        <v>417</v>
      </c>
      <c r="N9" s="13" t="n">
        <f aca="false">IFERROR(G9/D9-1,"")</f>
        <v>0.0176777822418641</v>
      </c>
    </row>
    <row r="10" customFormat="false" ht="15" hidden="false" customHeight="true" outlineLevel="0" collapsed="false">
      <c r="A10" s="11" t="s">
        <v>54</v>
      </c>
      <c r="B10" s="12" t="n">
        <v>3318</v>
      </c>
      <c r="C10" s="23" t="n">
        <f aca="false">Segment_Data!D9</f>
        <v>6498</v>
      </c>
      <c r="D10" s="24" t="n">
        <f aca="false">C10-B10</f>
        <v>3180</v>
      </c>
      <c r="E10" s="12" t="n">
        <v>3239</v>
      </c>
      <c r="F10" s="23" t="n">
        <f aca="false">Segment_Data!E9</f>
        <v>6739</v>
      </c>
      <c r="G10" s="24" t="n">
        <f aca="false">F10-E10</f>
        <v>3500</v>
      </c>
      <c r="H10" s="12" t="n">
        <v>432</v>
      </c>
      <c r="I10" s="23" t="n">
        <f aca="false">Segment_Data!K9</f>
        <v>777</v>
      </c>
      <c r="J10" s="24" t="n">
        <f aca="false">I10-H10</f>
        <v>345</v>
      </c>
      <c r="K10" s="12" t="n">
        <v>433</v>
      </c>
      <c r="L10" s="23" t="n">
        <f aca="false">Segment_Data!L9</f>
        <v>943</v>
      </c>
      <c r="M10" s="24" t="n">
        <f aca="false">L10-K10</f>
        <v>510</v>
      </c>
      <c r="N10" s="13" t="n">
        <f aca="false">IFERROR(G10/D10-1,"")</f>
        <v>0.10062893081761</v>
      </c>
    </row>
    <row r="11" customFormat="false" ht="15" hidden="false" customHeight="true" outlineLevel="0" collapsed="false">
      <c r="A11" s="11" t="s">
        <v>55</v>
      </c>
      <c r="B11" s="12" t="n">
        <v>3128</v>
      </c>
      <c r="C11" s="23" t="n">
        <f aca="false">Segment_Data!D10</f>
        <v>6372</v>
      </c>
      <c r="D11" s="24" t="n">
        <f aca="false">C11-B11</f>
        <v>3244</v>
      </c>
      <c r="E11" s="12" t="n">
        <v>3096</v>
      </c>
      <c r="F11" s="23" t="n">
        <f aca="false">Segment_Data!E10</f>
        <v>6378</v>
      </c>
      <c r="G11" s="24" t="n">
        <f aca="false">F11-E11</f>
        <v>3282</v>
      </c>
      <c r="H11" s="12" t="n">
        <v>678</v>
      </c>
      <c r="I11" s="23" t="n">
        <f aca="false">Segment_Data!K10</f>
        <v>1291</v>
      </c>
      <c r="J11" s="24" t="n">
        <f aca="false">I11-H11</f>
        <v>613</v>
      </c>
      <c r="K11" s="12" t="n">
        <v>667</v>
      </c>
      <c r="L11" s="23" t="n">
        <f aca="false">Segment_Data!L10</f>
        <v>1278</v>
      </c>
      <c r="M11" s="24" t="n">
        <f aca="false">L11-K11</f>
        <v>611</v>
      </c>
      <c r="N11" s="13" t="n">
        <f aca="false">IFERROR(G11/D11-1,"")</f>
        <v>0.0117139334155363</v>
      </c>
    </row>
    <row r="12" customFormat="false" ht="15" hidden="false" customHeight="true" outlineLevel="0" collapsed="false">
      <c r="A12" s="11" t="s">
        <v>56</v>
      </c>
      <c r="B12" s="12" t="n">
        <v>137</v>
      </c>
      <c r="C12" s="23" t="n">
        <f aca="false">Segment_Data!D11</f>
        <v>283</v>
      </c>
      <c r="D12" s="24" t="n">
        <f aca="false">C12-B12</f>
        <v>146</v>
      </c>
      <c r="E12" s="12" t="n">
        <v>146</v>
      </c>
      <c r="F12" s="23" t="n">
        <f aca="false">Segment_Data!E11</f>
        <v>292</v>
      </c>
      <c r="G12" s="24" t="n">
        <f aca="false">F12-E12</f>
        <v>146</v>
      </c>
      <c r="H12" s="12" t="n">
        <v>-17</v>
      </c>
      <c r="I12" s="23" t="n">
        <f aca="false">Segment_Data!K11</f>
        <v>-12</v>
      </c>
      <c r="J12" s="24" t="n">
        <f aca="false">I12-H12</f>
        <v>5</v>
      </c>
      <c r="K12" s="12" t="n">
        <v>-5</v>
      </c>
      <c r="L12" s="23" t="n">
        <f aca="false">Segment_Data!L11</f>
        <v>-13</v>
      </c>
      <c r="M12" s="24" t="n">
        <f aca="false">L12-K12</f>
        <v>-8</v>
      </c>
      <c r="N12" s="13" t="n">
        <f aca="false">IFERROR(G12/D12-1,"")</f>
        <v>0</v>
      </c>
    </row>
    <row r="13" customFormat="false" ht="15" hidden="false" customHeight="true" outlineLevel="0" collapsed="false">
      <c r="A13" s="15" t="s">
        <v>57</v>
      </c>
      <c r="B13" s="16" t="n">
        <f aca="false">SUM(B5:B12)</f>
        <v>46293</v>
      </c>
      <c r="C13" s="16" t="n">
        <f aca="false">SUM(C5:C12)</f>
        <v>92998</v>
      </c>
      <c r="D13" s="16" t="n">
        <f aca="false">SUM(D5:D12)</f>
        <v>46705</v>
      </c>
      <c r="E13" s="16" t="n">
        <f aca="false">SUM(E5:E12)</f>
        <v>45045</v>
      </c>
      <c r="F13" s="16" t="n">
        <f aca="false">SUM(F5:F12)</f>
        <v>91354</v>
      </c>
      <c r="G13" s="16" t="n">
        <f aca="false">SUM(G5:G12)</f>
        <v>46309</v>
      </c>
      <c r="H13" s="18" t="n">
        <v>3798</v>
      </c>
      <c r="I13" s="25" t="n">
        <f aca="false">Segment_Data!K12</f>
        <v>16053</v>
      </c>
      <c r="J13" s="16" t="n">
        <f aca="false">I13-H13</f>
        <v>12255</v>
      </c>
      <c r="K13" s="18" t="n">
        <v>7841</v>
      </c>
      <c r="L13" s="25" t="n">
        <f aca="false">Segment_Data!L12</f>
        <v>15704</v>
      </c>
      <c r="M13" s="16" t="n">
        <f aca="false">L13-K13</f>
        <v>7863</v>
      </c>
      <c r="N13" s="17" t="n">
        <f aca="false">IFERROR(G13/D13-1,"")</f>
        <v>-0.008478749598544</v>
      </c>
    </row>
    <row r="15" customFormat="false" ht="27.75" hidden="false" customHeight="true" outlineLevel="0" collapsed="false">
      <c r="A15" s="21" t="s">
        <v>82</v>
      </c>
      <c r="B15" s="21"/>
      <c r="C15" s="21"/>
      <c r="D15" s="21"/>
      <c r="E15" s="21"/>
      <c r="F15" s="21"/>
      <c r="G15" s="21"/>
      <c r="H15" s="21"/>
      <c r="I15" s="21"/>
      <c r="J15" s="21"/>
      <c r="K15" s="21"/>
      <c r="L15" s="21"/>
      <c r="M15" s="21"/>
    </row>
  </sheetData>
  <mergeCells count="3">
    <mergeCell ref="A1:N1"/>
    <mergeCell ref="A2:N2"/>
    <mergeCell ref="A15:M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52"/>
    <col collapsed="false" customWidth="true" hidden="false" outlineLevel="0" max="5" min="2" style="8" width="14"/>
  </cols>
  <sheetData>
    <row r="1" customFormat="false" ht="15" hidden="false" customHeight="true" outlineLevel="0" collapsed="false">
      <c r="A1" s="26" t="s">
        <v>83</v>
      </c>
    </row>
    <row r="3" customFormat="false" ht="15" hidden="false" customHeight="true" outlineLevel="0" collapsed="false">
      <c r="A3" s="27" t="s">
        <v>84</v>
      </c>
      <c r="B3" s="27" t="s">
        <v>85</v>
      </c>
      <c r="C3" s="27" t="s">
        <v>86</v>
      </c>
      <c r="D3" s="27" t="s">
        <v>87</v>
      </c>
      <c r="E3" s="27" t="s">
        <v>88</v>
      </c>
    </row>
    <row r="4" customFormat="false" ht="15" hidden="false" customHeight="true" outlineLevel="0" collapsed="false">
      <c r="A4" s="28" t="s">
        <v>89</v>
      </c>
      <c r="B4" s="29" t="n">
        <v>87088</v>
      </c>
      <c r="C4" s="29" t="n">
        <v>94424</v>
      </c>
      <c r="D4" s="29" t="n">
        <v>92998</v>
      </c>
      <c r="E4" s="29" t="n">
        <v>91354</v>
      </c>
    </row>
    <row r="5" customFormat="false" ht="15" hidden="false" customHeight="true" outlineLevel="0" collapsed="false">
      <c r="A5" s="28" t="s">
        <v>90</v>
      </c>
      <c r="B5" s="29" t="n">
        <v>382</v>
      </c>
      <c r="C5" s="29" t="n">
        <v>356</v>
      </c>
      <c r="D5" s="29" t="n">
        <v>353</v>
      </c>
      <c r="E5" s="29" t="n">
        <v>366</v>
      </c>
    </row>
    <row r="6" customFormat="false" ht="15" hidden="false" customHeight="true" outlineLevel="0" collapsed="false">
      <c r="A6" s="28" t="s">
        <v>91</v>
      </c>
      <c r="B6" s="29" t="n">
        <v>-45468</v>
      </c>
      <c r="C6" s="29" t="n">
        <v>-51745</v>
      </c>
      <c r="D6" s="29" t="n">
        <v>-50328</v>
      </c>
      <c r="E6" s="29" t="n">
        <v>-48670</v>
      </c>
    </row>
    <row r="7" customFormat="false" ht="15" hidden="false" customHeight="true" outlineLevel="0" collapsed="false">
      <c r="A7" s="28" t="s">
        <v>92</v>
      </c>
      <c r="B7" s="29" t="n">
        <v>-7919</v>
      </c>
      <c r="C7" s="29" t="n">
        <v>-8386</v>
      </c>
      <c r="D7" s="29" t="n">
        <v>-7765</v>
      </c>
      <c r="E7" s="29" t="n">
        <v>-7567</v>
      </c>
    </row>
    <row r="8" customFormat="false" ht="15" hidden="false" customHeight="true" outlineLevel="0" collapsed="false">
      <c r="A8" s="28" t="s">
        <v>93</v>
      </c>
      <c r="B8" s="29" t="n">
        <v>-17294</v>
      </c>
      <c r="C8" s="29" t="n">
        <v>-16850</v>
      </c>
      <c r="D8" s="29" t="n">
        <v>-17549</v>
      </c>
      <c r="E8" s="29" t="n">
        <v>-18112</v>
      </c>
    </row>
    <row r="9" customFormat="false" ht="15" hidden="false" customHeight="true" outlineLevel="0" collapsed="false">
      <c r="A9" s="28" t="s">
        <v>94</v>
      </c>
      <c r="B9" s="29" t="n">
        <v>-1670</v>
      </c>
      <c r="C9" s="29" t="n">
        <v>-1696</v>
      </c>
      <c r="D9" s="29" t="n">
        <v>-1656</v>
      </c>
      <c r="E9" s="29" t="n">
        <v>-1667</v>
      </c>
    </row>
    <row r="10" customFormat="false" ht="15" hidden="false" customHeight="true" outlineLevel="0" collapsed="false">
      <c r="A10" s="30" t="s">
        <v>95</v>
      </c>
      <c r="B10" s="31" t="n">
        <f aca="false">SUM(B4:B9)</f>
        <v>15119</v>
      </c>
      <c r="C10" s="31" t="n">
        <f aca="false">SUM(C4:C9)</f>
        <v>16103</v>
      </c>
      <c r="D10" s="31" t="n">
        <f aca="false">SUM(D4:D9)</f>
        <v>16053</v>
      </c>
      <c r="E10" s="31" t="n">
        <f aca="false">SUM(E4:E9)</f>
        <v>15704</v>
      </c>
    </row>
    <row r="11" customFormat="false" ht="15" hidden="false" customHeight="true" outlineLevel="0" collapsed="false">
      <c r="A11" s="28" t="s">
        <v>96</v>
      </c>
      <c r="B11" s="29" t="n">
        <v>171</v>
      </c>
      <c r="C11" s="29" t="n">
        <v>107</v>
      </c>
      <c r="D11" s="29" t="n">
        <v>132</v>
      </c>
      <c r="E11" s="29" t="n">
        <v>124</v>
      </c>
    </row>
    <row r="12" customFormat="false" ht="15" hidden="false" customHeight="true" outlineLevel="0" collapsed="false">
      <c r="A12" s="28" t="s">
        <v>97</v>
      </c>
      <c r="B12" s="29" t="n">
        <v>-3131</v>
      </c>
      <c r="C12" s="29" t="n">
        <v>-3015</v>
      </c>
      <c r="D12" s="29" t="n">
        <v>-1665</v>
      </c>
      <c r="E12" s="29" t="n">
        <v>-1195</v>
      </c>
    </row>
    <row r="13" customFormat="false" ht="15" hidden="false" customHeight="true" outlineLevel="0" collapsed="false">
      <c r="A13" s="30" t="s">
        <v>98</v>
      </c>
      <c r="B13" s="31" t="n">
        <f aca="false">B10+B11+B12</f>
        <v>12159</v>
      </c>
      <c r="C13" s="31" t="n">
        <f aca="false">C10+C11+C12</f>
        <v>13195</v>
      </c>
      <c r="D13" s="31" t="n">
        <f aca="false">D10+D11+D12</f>
        <v>14520</v>
      </c>
      <c r="E13" s="31" t="n">
        <f aca="false">E10+E11+E12</f>
        <v>14633</v>
      </c>
    </row>
    <row r="14" customFormat="false" ht="15" hidden="false" customHeight="true" outlineLevel="0" collapsed="false">
      <c r="A14" s="28" t="s">
        <v>99</v>
      </c>
      <c r="B14" s="29" t="n">
        <v>698</v>
      </c>
      <c r="C14" s="29" t="n">
        <v>340</v>
      </c>
      <c r="D14" s="29" t="n">
        <v>298</v>
      </c>
      <c r="E14" s="29" t="n">
        <v>474</v>
      </c>
    </row>
    <row r="15" customFormat="false" ht="15" hidden="false" customHeight="true" outlineLevel="0" collapsed="false">
      <c r="A15" s="28" t="s">
        <v>100</v>
      </c>
      <c r="B15" s="29" t="n">
        <v>-1178</v>
      </c>
      <c r="C15" s="29" t="n">
        <v>-1209</v>
      </c>
      <c r="D15" s="29" t="n">
        <v>-755</v>
      </c>
      <c r="E15" s="29" t="n">
        <v>-383</v>
      </c>
    </row>
    <row r="16" customFormat="false" ht="15" hidden="false" customHeight="true" outlineLevel="0" collapsed="false">
      <c r="A16" s="30" t="s">
        <v>101</v>
      </c>
      <c r="B16" s="31" t="n">
        <f aca="false">B13+B14+B15</f>
        <v>11679</v>
      </c>
      <c r="C16" s="31" t="n">
        <f aca="false">C13+C14+C15</f>
        <v>12326</v>
      </c>
      <c r="D16" s="31" t="n">
        <f aca="false">D13+D14+D15</f>
        <v>14063</v>
      </c>
      <c r="E16" s="31" t="n">
        <f aca="false">E13+E14+E15</f>
        <v>14724</v>
      </c>
    </row>
    <row r="17" customFormat="false" ht="15" hidden="false" customHeight="true" outlineLevel="0" collapsed="false">
      <c r="A17" s="28" t="s">
        <v>102</v>
      </c>
      <c r="B17" s="29" t="n">
        <v>80</v>
      </c>
      <c r="C17" s="29" t="n">
        <v>210</v>
      </c>
      <c r="D17" s="29" t="n">
        <v>284</v>
      </c>
      <c r="E17" s="29" t="n">
        <v>358</v>
      </c>
    </row>
    <row r="18" customFormat="false" ht="15" hidden="false" customHeight="true" outlineLevel="0" collapsed="false">
      <c r="A18" s="28" t="s">
        <v>103</v>
      </c>
      <c r="B18" s="29" t="n">
        <v>-953</v>
      </c>
      <c r="C18" s="29" t="n">
        <v>-1250</v>
      </c>
      <c r="D18" s="29" t="n">
        <v>-1644</v>
      </c>
      <c r="E18" s="29" t="n">
        <v>-1843</v>
      </c>
    </row>
    <row r="19" customFormat="false" ht="15" hidden="false" customHeight="true" outlineLevel="0" collapsed="false">
      <c r="A19" s="32" t="s">
        <v>104</v>
      </c>
      <c r="B19" s="33" t="n">
        <f aca="false">B17+B18</f>
        <v>-873</v>
      </c>
      <c r="C19" s="33" t="n">
        <f aca="false">C17+C18</f>
        <v>-1040</v>
      </c>
      <c r="D19" s="33" t="n">
        <f aca="false">D17+D18</f>
        <v>-1360</v>
      </c>
      <c r="E19" s="33" t="n">
        <f aca="false">E17+E18</f>
        <v>-1485</v>
      </c>
    </row>
    <row r="20" customFormat="false" ht="15" hidden="false" customHeight="true" outlineLevel="0" collapsed="false">
      <c r="A20" s="30" t="s">
        <v>105</v>
      </c>
      <c r="B20" s="31" t="n">
        <f aca="false">B16+B19</f>
        <v>10806</v>
      </c>
      <c r="C20" s="31" t="n">
        <f aca="false">C16+C19</f>
        <v>11286</v>
      </c>
      <c r="D20" s="31" t="n">
        <f aca="false">D16+D19</f>
        <v>12703</v>
      </c>
      <c r="E20" s="31" t="n">
        <f aca="false">E16+E19</f>
        <v>13239</v>
      </c>
    </row>
    <row r="21" customFormat="false" ht="15" hidden="false" customHeight="true" outlineLevel="0" collapsed="false">
      <c r="A21" s="28" t="s">
        <v>106</v>
      </c>
      <c r="B21" s="29" t="n">
        <v>8651</v>
      </c>
      <c r="C21" s="29" t="n">
        <v>1040</v>
      </c>
      <c r="D21" s="29" t="n">
        <v>1120</v>
      </c>
      <c r="E21" s="29" t="n">
        <v>1249</v>
      </c>
    </row>
    <row r="22" customFormat="false" ht="15" hidden="false" customHeight="true" outlineLevel="0" collapsed="false">
      <c r="A22" s="28" t="s">
        <v>107</v>
      </c>
      <c r="B22" s="29" t="n">
        <v>-2261</v>
      </c>
      <c r="C22" s="29" t="n">
        <v>-2730</v>
      </c>
      <c r="D22" s="29" t="n">
        <v>-2314</v>
      </c>
      <c r="E22" s="29" t="n">
        <v>-3314</v>
      </c>
    </row>
    <row r="23" customFormat="false" ht="15" hidden="false" customHeight="true" outlineLevel="0" collapsed="false">
      <c r="A23" s="30" t="s">
        <v>108</v>
      </c>
      <c r="B23" s="31" t="n">
        <f aca="false">B20+B21+B22</f>
        <v>17196</v>
      </c>
      <c r="C23" s="31" t="n">
        <f aca="false">C20+C21+C22</f>
        <v>9596</v>
      </c>
      <c r="D23" s="31" t="n">
        <f aca="false">D20+D21+D22</f>
        <v>11509</v>
      </c>
      <c r="E23" s="31" t="n">
        <f aca="false">E20+E21+E22</f>
        <v>11174</v>
      </c>
    </row>
    <row r="24" customFormat="false" ht="15" hidden="false" customHeight="true" outlineLevel="0" collapsed="false">
      <c r="A24" s="28" t="s">
        <v>109</v>
      </c>
      <c r="B24" s="29" t="n">
        <v>291</v>
      </c>
      <c r="C24" s="29" t="n">
        <v>326</v>
      </c>
      <c r="D24" s="29" t="n">
        <v>300</v>
      </c>
      <c r="E24" s="29" t="n">
        <v>290</v>
      </c>
    </row>
    <row r="25" customFormat="false" ht="15" hidden="false" customHeight="true" outlineLevel="0" collapsed="false">
      <c r="A25" s="30" t="s">
        <v>110</v>
      </c>
      <c r="B25" s="31" t="n">
        <f aca="false">B23-B24</f>
        <v>16905</v>
      </c>
      <c r="C25" s="31" t="n">
        <f aca="false">C23-C24</f>
        <v>9270</v>
      </c>
      <c r="D25" s="31" t="n">
        <f aca="false">D23-D24</f>
        <v>11209</v>
      </c>
      <c r="E25" s="31" t="n">
        <f aca="false">E23-E24</f>
        <v>10884</v>
      </c>
    </row>
    <row r="27" customFormat="false" ht="15" hidden="false" customHeight="true" outlineLevel="0" collapsed="false">
      <c r="A27" s="28" t="s">
        <v>111</v>
      </c>
      <c r="B27" s="34" t="n">
        <f aca="false">IFERROR(B10/B4,"")</f>
        <v>0.173606007716333</v>
      </c>
      <c r="C27" s="34" t="n">
        <f aca="false">IFERROR(C10/C4,"")</f>
        <v>0.170539269677201</v>
      </c>
      <c r="D27" s="34" t="n">
        <f aca="false">IFERROR(D10/D4,"")</f>
        <v>0.172616615411084</v>
      </c>
      <c r="E27" s="34" t="n">
        <f aca="false">IFERROR(E10/E4,"")</f>
        <v>0.171902708146332</v>
      </c>
    </row>
    <row r="28" customFormat="false" ht="15" hidden="false" customHeight="true" outlineLevel="0" collapsed="false">
      <c r="A28" s="28" t="s">
        <v>112</v>
      </c>
      <c r="B28" s="34" t="n">
        <f aca="false">IFERROR(B13/B4,"")</f>
        <v>0.139617398493478</v>
      </c>
      <c r="C28" s="34" t="n">
        <f aca="false">IFERROR(C13/C4,"")</f>
        <v>0.139742014742015</v>
      </c>
      <c r="D28" s="34" t="n">
        <f aca="false">IFERROR(D13/D4,"")</f>
        <v>0.15613238994387</v>
      </c>
      <c r="E28" s="34" t="n">
        <f aca="false">IFERROR(E13/E4,"")</f>
        <v>0.160179083565033</v>
      </c>
    </row>
    <row r="29" customFormat="false" ht="15" hidden="false" customHeight="true" outlineLevel="0" collapsed="false">
      <c r="A29" s="28" t="s">
        <v>113</v>
      </c>
      <c r="B29" s="34" t="n">
        <f aca="false">IFERROR(B16/B4,"")</f>
        <v>0.134105732133015</v>
      </c>
      <c r="C29" s="34" t="n">
        <f aca="false">IFERROR(C16/C4,"")</f>
        <v>0.130538846056087</v>
      </c>
      <c r="D29" s="34" t="n">
        <f aca="false">IFERROR(D16/D4,"")</f>
        <v>0.151218305770017</v>
      </c>
      <c r="E29" s="34" t="n">
        <f aca="false">IFERROR(E16/E4,"")</f>
        <v>0.161175208529457</v>
      </c>
    </row>
    <row r="30" customFormat="false" ht="15" hidden="false" customHeight="true" outlineLevel="0" collapsed="false">
      <c r="A30" s="28" t="s">
        <v>114</v>
      </c>
      <c r="B30" s="34" t="n">
        <f aca="false">IFERROR(B25/B4,"")</f>
        <v>0.194113999632556</v>
      </c>
      <c r="C30" s="34" t="n">
        <f aca="false">IFERROR(C25/C4,"")</f>
        <v>0.0981741930017792</v>
      </c>
      <c r="D30" s="34" t="n">
        <f aca="false">IFERROR(D25/D4,"")</f>
        <v>0.120529473752124</v>
      </c>
      <c r="E30" s="34" t="n">
        <f aca="false">IFERROR(E25/E4,"")</f>
        <v>0.119140924316396</v>
      </c>
    </row>
    <row r="31" customFormat="false" ht="15" hidden="false" customHeight="true" outlineLevel="0" collapsed="false">
      <c r="A31" s="28" t="s">
        <v>115</v>
      </c>
      <c r="B31" s="34" t="n">
        <f aca="false">IFERROR(-B22/B20,"")</f>
        <v>0.209235609846382</v>
      </c>
      <c r="C31" s="34" t="n">
        <f aca="false">IFERROR(-C22/C20,"")</f>
        <v>0.241892610313663</v>
      </c>
      <c r="D31" s="34" t="n">
        <f aca="false">IFERROR(-D22/D20,"")</f>
        <v>0.182161694088011</v>
      </c>
      <c r="E31" s="34" t="n">
        <f aca="false">IFERROR(-E22/E20,"")</f>
        <v>0.250321021225168</v>
      </c>
    </row>
    <row r="33" customFormat="false" ht="15" hidden="false" customHeight="true" outlineLevel="0" collapsed="false">
      <c r="A33" s="28" t="s">
        <v>116</v>
      </c>
      <c r="B33" s="35" t="n">
        <v>6.06</v>
      </c>
      <c r="C33" s="35" t="n">
        <v>3.42</v>
      </c>
      <c r="D33" s="35" t="n">
        <v>4.24</v>
      </c>
      <c r="E33" s="35" t="n">
        <v>4.19</v>
      </c>
    </row>
    <row r="34" customFormat="false" ht="15" hidden="false" customHeight="true" outlineLevel="0" collapsed="false">
      <c r="A34" s="28" t="s">
        <v>117</v>
      </c>
      <c r="B34" s="35" t="n">
        <v>6.06</v>
      </c>
      <c r="C34" s="35" t="n">
        <v>3.42</v>
      </c>
      <c r="D34" s="35" t="n">
        <v>4.23</v>
      </c>
      <c r="E34" s="35" t="n">
        <v>4.19</v>
      </c>
    </row>
    <row r="36" customFormat="false" ht="30" hidden="false" customHeight="true" outlineLevel="0" collapsed="false">
      <c r="A36" s="36" t="s">
        <v>118</v>
      </c>
    </row>
    <row r="37" customFormat="false" ht="30" hidden="false" customHeight="true" outlineLevel="0" collapsed="false">
      <c r="A37" s="36" t="s">
        <v>119</v>
      </c>
    </row>
    <row r="38" customFormat="false" ht="30" hidden="false" customHeight="true" outlineLevel="0" collapsed="false">
      <c r="A38" s="36" t="s">
        <v>120</v>
      </c>
    </row>
    <row r="39" customFormat="false" ht="30" hidden="false" customHeight="true" outlineLevel="0" collapsed="false">
      <c r="A39" s="36" t="s">
        <v>121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58"/>
    <col collapsed="false" customWidth="true" hidden="false" outlineLevel="0" max="5" min="2" style="8" width="14"/>
  </cols>
  <sheetData>
    <row r="1" customFormat="false" ht="15" hidden="false" customHeight="true" outlineLevel="0" collapsed="false">
      <c r="A1" s="26" t="s">
        <v>122</v>
      </c>
    </row>
    <row r="3" customFormat="false" ht="15" hidden="false" customHeight="true" outlineLevel="0" collapsed="false">
      <c r="A3" s="27" t="s">
        <v>84</v>
      </c>
      <c r="B3" s="27" t="s">
        <v>85</v>
      </c>
      <c r="C3" s="27" t="s">
        <v>86</v>
      </c>
      <c r="D3" s="27" t="s">
        <v>87</v>
      </c>
      <c r="E3" s="27" t="s">
        <v>88</v>
      </c>
    </row>
    <row r="4" customFormat="false" ht="15" hidden="false" customHeight="true" outlineLevel="0" collapsed="false">
      <c r="A4" s="37" t="s">
        <v>123</v>
      </c>
    </row>
    <row r="5" customFormat="false" ht="15" hidden="false" customHeight="true" outlineLevel="0" collapsed="false">
      <c r="A5" s="32" t="s">
        <v>124</v>
      </c>
      <c r="B5" s="33" t="n">
        <f aca="false">Income_Statement!B16</f>
        <v>11679</v>
      </c>
      <c r="C5" s="33" t="n">
        <f aca="false">Income_Statement!C16</f>
        <v>12326</v>
      </c>
      <c r="D5" s="33" t="n">
        <f aca="false">Income_Statement!D16</f>
        <v>14063</v>
      </c>
      <c r="E5" s="33" t="n">
        <f aca="false">Income_Statement!E16</f>
        <v>14724</v>
      </c>
    </row>
    <row r="6" customFormat="false" ht="15" hidden="false" customHeight="true" outlineLevel="0" collapsed="false">
      <c r="A6" s="28" t="s">
        <v>125</v>
      </c>
      <c r="B6" s="29" t="n">
        <v>3440</v>
      </c>
      <c r="C6" s="29" t="n">
        <v>3541</v>
      </c>
      <c r="D6" s="29" t="n">
        <v>3458</v>
      </c>
      <c r="E6" s="29" t="n">
        <v>3582</v>
      </c>
    </row>
    <row r="7" customFormat="false" ht="15" hidden="false" customHeight="true" outlineLevel="0" collapsed="false">
      <c r="A7" s="28" t="s">
        <v>126</v>
      </c>
      <c r="B7" s="29" t="n">
        <v>2614</v>
      </c>
      <c r="C7" s="29" t="n">
        <v>2726</v>
      </c>
      <c r="D7" s="29" t="n">
        <v>647</v>
      </c>
      <c r="E7" s="29" t="n">
        <v>580</v>
      </c>
    </row>
    <row r="8" customFormat="false" ht="15" hidden="false" customHeight="true" outlineLevel="0" collapsed="false">
      <c r="A8" s="28" t="s">
        <v>127</v>
      </c>
      <c r="B8" s="29" t="n">
        <v>-235</v>
      </c>
      <c r="C8" s="29" t="n">
        <v>79</v>
      </c>
      <c r="D8" s="29" t="n">
        <v>221</v>
      </c>
      <c r="E8" s="29" t="n">
        <v>62</v>
      </c>
    </row>
    <row r="9" customFormat="false" ht="15" hidden="false" customHeight="true" outlineLevel="0" collapsed="false">
      <c r="A9" s="28" t="s">
        <v>128</v>
      </c>
      <c r="B9" s="29" t="n">
        <v>-253</v>
      </c>
      <c r="C9" s="29" t="n">
        <v>216</v>
      </c>
      <c r="D9" s="29" t="n">
        <v>82</v>
      </c>
      <c r="E9" s="29" t="n">
        <v>-229</v>
      </c>
    </row>
    <row r="10" customFormat="false" ht="15" hidden="false" customHeight="true" outlineLevel="0" collapsed="false">
      <c r="A10" s="30" t="s">
        <v>129</v>
      </c>
      <c r="B10" s="31" t="n">
        <f aca="false">SUM(B5:B9)</f>
        <v>17245</v>
      </c>
      <c r="C10" s="31" t="n">
        <f aca="false">SUM(C5:C9)</f>
        <v>18888</v>
      </c>
      <c r="D10" s="31" t="n">
        <f aca="false">SUM(D5:D9)</f>
        <v>18471</v>
      </c>
      <c r="E10" s="31" t="n">
        <f aca="false">SUM(E5:E9)</f>
        <v>18719</v>
      </c>
    </row>
    <row r="11" customFormat="false" ht="15" hidden="false" customHeight="true" outlineLevel="0" collapsed="false">
      <c r="A11" s="28" t="s">
        <v>130</v>
      </c>
      <c r="B11" s="29" t="n">
        <v>-173</v>
      </c>
      <c r="C11" s="29" t="n">
        <v>-3133</v>
      </c>
      <c r="D11" s="29" t="n">
        <v>1134</v>
      </c>
      <c r="E11" s="29" t="n">
        <v>1208</v>
      </c>
    </row>
    <row r="12" customFormat="false" ht="15" hidden="false" customHeight="true" outlineLevel="0" collapsed="false">
      <c r="A12" s="28" t="s">
        <v>131</v>
      </c>
      <c r="B12" s="29" t="n">
        <v>-427</v>
      </c>
      <c r="C12" s="29" t="n">
        <v>-514</v>
      </c>
      <c r="D12" s="29" t="n">
        <v>-425</v>
      </c>
      <c r="E12" s="29" t="n">
        <v>-334</v>
      </c>
    </row>
    <row r="13" customFormat="false" ht="15" hidden="false" customHeight="true" outlineLevel="0" collapsed="false">
      <c r="A13" s="30" t="s">
        <v>132</v>
      </c>
      <c r="B13" s="31" t="n">
        <f aca="false">B10+B11+B12</f>
        <v>16645</v>
      </c>
      <c r="C13" s="31" t="n">
        <f aca="false">C10+C11+C12</f>
        <v>15241</v>
      </c>
      <c r="D13" s="31" t="n">
        <f aca="false">D10+D11+D12</f>
        <v>19180</v>
      </c>
      <c r="E13" s="31" t="n">
        <f aca="false">E10+E11+E12</f>
        <v>19593</v>
      </c>
    </row>
    <row r="14" customFormat="false" ht="15" hidden="false" customHeight="true" outlineLevel="0" collapsed="false">
      <c r="A14" s="28" t="s">
        <v>133</v>
      </c>
      <c r="B14" s="29" t="n">
        <v>-753</v>
      </c>
      <c r="C14" s="29" t="n">
        <v>-953</v>
      </c>
      <c r="D14" s="29" t="n">
        <v>-1330</v>
      </c>
      <c r="E14" s="29" t="n">
        <v>-1539</v>
      </c>
    </row>
    <row r="15" customFormat="false" ht="15" hidden="false" customHeight="true" outlineLevel="0" collapsed="false">
      <c r="A15" s="28" t="s">
        <v>134</v>
      </c>
      <c r="B15" s="29" t="n">
        <v>43</v>
      </c>
      <c r="C15" s="29" t="n">
        <v>118</v>
      </c>
      <c r="D15" s="29" t="n">
        <v>193</v>
      </c>
      <c r="E15" s="29" t="n">
        <v>273</v>
      </c>
    </row>
    <row r="16" customFormat="false" ht="15" hidden="false" customHeight="true" outlineLevel="0" collapsed="false">
      <c r="A16" s="28" t="s">
        <v>135</v>
      </c>
      <c r="B16" s="29" t="n">
        <v>-2722</v>
      </c>
      <c r="C16" s="29" t="n">
        <v>-3107</v>
      </c>
      <c r="D16" s="29" t="n">
        <v>-2801</v>
      </c>
      <c r="E16" s="29" t="n">
        <v>-2411</v>
      </c>
    </row>
    <row r="17" customFormat="false" ht="15" hidden="false" customHeight="true" outlineLevel="0" collapsed="false">
      <c r="A17" s="28" t="s">
        <v>136</v>
      </c>
      <c r="B17" s="29" t="n">
        <v>651</v>
      </c>
      <c r="C17" s="29" t="n">
        <v>608</v>
      </c>
      <c r="D17" s="29" t="n">
        <v>699</v>
      </c>
      <c r="E17" s="29" t="n">
        <v>759</v>
      </c>
    </row>
    <row r="18" customFormat="false" ht="15" hidden="false" customHeight="true" outlineLevel="0" collapsed="false">
      <c r="A18" s="30" t="s">
        <v>137</v>
      </c>
      <c r="B18" s="31" t="n">
        <f aca="false">B13+B14+B15+B16+B17</f>
        <v>13864</v>
      </c>
      <c r="C18" s="31" t="n">
        <f aca="false">C13+C14+C15+C16+C17</f>
        <v>11907</v>
      </c>
      <c r="D18" s="31" t="n">
        <f aca="false">D13+D14+D15+D16+D17</f>
        <v>15941</v>
      </c>
      <c r="E18" s="31" t="n">
        <f aca="false">E13+E14+E15+E16+E17</f>
        <v>16675</v>
      </c>
    </row>
    <row r="20" customFormat="false" ht="15" hidden="false" customHeight="true" outlineLevel="0" collapsed="false">
      <c r="A20" s="37" t="s">
        <v>138</v>
      </c>
    </row>
    <row r="21" customFormat="false" ht="15" hidden="false" customHeight="true" outlineLevel="0" collapsed="false">
      <c r="A21" s="28" t="s">
        <v>139</v>
      </c>
      <c r="B21" s="29" t="n">
        <v>-4880</v>
      </c>
      <c r="C21" s="29" t="n">
        <v>-5095</v>
      </c>
      <c r="D21" s="29" t="n">
        <v>-5714</v>
      </c>
      <c r="E21" s="29" t="n">
        <v>-5638</v>
      </c>
    </row>
    <row r="22" customFormat="false" ht="15" hidden="false" customHeight="true" outlineLevel="0" collapsed="false">
      <c r="A22" s="28" t="s">
        <v>140</v>
      </c>
      <c r="B22" s="29" t="n">
        <v>-461</v>
      </c>
      <c r="C22" s="29" t="n">
        <v>-266</v>
      </c>
      <c r="D22" s="29" t="n">
        <v>-489</v>
      </c>
      <c r="E22" s="29" t="n">
        <v>-325</v>
      </c>
    </row>
    <row r="23" customFormat="false" ht="15" hidden="false" customHeight="true" outlineLevel="0" collapsed="false">
      <c r="A23" s="28" t="s">
        <v>141</v>
      </c>
      <c r="B23" s="29" t="n">
        <v>-6394</v>
      </c>
      <c r="C23" s="29" t="n">
        <v>-1710</v>
      </c>
      <c r="D23" s="29" t="n">
        <v>-211</v>
      </c>
      <c r="E23" s="29" t="n">
        <v>-809</v>
      </c>
    </row>
    <row r="24" customFormat="false" ht="15" hidden="false" customHeight="true" outlineLevel="0" collapsed="false">
      <c r="A24" s="28" t="s">
        <v>142</v>
      </c>
      <c r="B24" s="29" t="n">
        <v>3530</v>
      </c>
      <c r="C24" s="29" t="n">
        <v>160</v>
      </c>
      <c r="D24" s="29" t="n">
        <v>215</v>
      </c>
      <c r="E24" s="29" t="n">
        <v>-23</v>
      </c>
    </row>
    <row r="25" customFormat="false" ht="15" hidden="false" customHeight="true" outlineLevel="0" collapsed="false">
      <c r="A25" s="28" t="s">
        <v>143</v>
      </c>
      <c r="B25" s="29" t="n">
        <v>-715</v>
      </c>
      <c r="C25" s="29" t="n">
        <v>-918</v>
      </c>
      <c r="D25" s="29" t="n">
        <v>-582</v>
      </c>
      <c r="E25" s="29" t="n">
        <v>-532</v>
      </c>
    </row>
    <row r="26" customFormat="false" ht="15" hidden="false" customHeight="true" outlineLevel="0" collapsed="false">
      <c r="A26" s="28" t="s">
        <v>144</v>
      </c>
      <c r="B26" s="29" t="n">
        <v>9294</v>
      </c>
      <c r="C26" s="29" t="n">
        <v>0</v>
      </c>
      <c r="D26" s="29" t="n">
        <v>0</v>
      </c>
      <c r="E26" s="29" t="n">
        <v>0</v>
      </c>
    </row>
    <row r="27" customFormat="false" ht="15" hidden="false" customHeight="true" outlineLevel="0" collapsed="false">
      <c r="A27" s="28" t="s">
        <v>145</v>
      </c>
      <c r="B27" s="29" t="n">
        <v>-3610</v>
      </c>
      <c r="C27" s="29" t="n">
        <v>5902</v>
      </c>
      <c r="D27" s="29" t="n">
        <v>-80</v>
      </c>
      <c r="E27" s="29" t="n">
        <v>-1251</v>
      </c>
    </row>
    <row r="28" customFormat="false" ht="15" hidden="false" customHeight="true" outlineLevel="0" collapsed="false">
      <c r="A28" s="28" t="s">
        <v>146</v>
      </c>
      <c r="B28" s="29" t="n">
        <v>192</v>
      </c>
      <c r="C28" s="29" t="n">
        <v>24</v>
      </c>
      <c r="D28" s="29" t="n">
        <v>665</v>
      </c>
      <c r="E28" s="29" t="n">
        <v>-46</v>
      </c>
    </row>
    <row r="29" customFormat="false" ht="15" hidden="false" customHeight="true" outlineLevel="0" collapsed="false">
      <c r="A29" s="30" t="s">
        <v>147</v>
      </c>
      <c r="B29" s="31" t="n">
        <f aca="false">SUM(B21:B28)</f>
        <v>-3044</v>
      </c>
      <c r="C29" s="31" t="n">
        <f aca="false">SUM(C21:C28)</f>
        <v>-1903</v>
      </c>
      <c r="D29" s="31" t="n">
        <f aca="false">SUM(D21:D28)</f>
        <v>-6196</v>
      </c>
      <c r="E29" s="31" t="n">
        <f aca="false">SUM(E21:E28)</f>
        <v>-8624</v>
      </c>
    </row>
    <row r="31" customFormat="false" ht="15" hidden="false" customHeight="true" outlineLevel="0" collapsed="false">
      <c r="A31" s="37" t="s">
        <v>148</v>
      </c>
    </row>
    <row r="32" customFormat="false" ht="15" hidden="false" customHeight="true" outlineLevel="0" collapsed="false">
      <c r="A32" s="28" t="s">
        <v>149</v>
      </c>
      <c r="B32" s="29" t="n">
        <v>-7681</v>
      </c>
      <c r="C32" s="29" t="n">
        <v>-7618</v>
      </c>
      <c r="D32" s="29" t="n">
        <v>-7829</v>
      </c>
      <c r="E32" s="29" t="n">
        <v>-7816</v>
      </c>
    </row>
    <row r="33" customFormat="false" ht="15" hidden="false" customHeight="true" outlineLevel="0" collapsed="false">
      <c r="A33" s="28" t="s">
        <v>150</v>
      </c>
      <c r="B33" s="29" t="n">
        <v>-302</v>
      </c>
      <c r="C33" s="29" t="n">
        <v>-284</v>
      </c>
      <c r="D33" s="29" t="n">
        <v>-323</v>
      </c>
      <c r="E33" s="29" t="n">
        <v>-174</v>
      </c>
    </row>
    <row r="34" customFormat="false" ht="15" hidden="false" customHeight="true" outlineLevel="0" collapsed="false">
      <c r="A34" s="28" t="s">
        <v>151</v>
      </c>
      <c r="B34" s="29" t="n">
        <v>-601</v>
      </c>
      <c r="C34" s="29" t="n">
        <v>-605</v>
      </c>
      <c r="D34" s="29" t="n">
        <v>-52</v>
      </c>
      <c r="E34" s="29" t="n">
        <v>-27</v>
      </c>
    </row>
    <row r="35" customFormat="false" ht="15" hidden="false" customHeight="true" outlineLevel="0" collapsed="false">
      <c r="A35" s="28" t="s">
        <v>152</v>
      </c>
      <c r="B35" s="29" t="n">
        <v>-6548</v>
      </c>
      <c r="C35" s="29" t="n">
        <v>-10679</v>
      </c>
      <c r="D35" s="29" t="n">
        <v>-5234</v>
      </c>
      <c r="E35" s="29" t="n">
        <v>-4678</v>
      </c>
    </row>
    <row r="36" customFormat="false" ht="15" hidden="false" customHeight="true" outlineLevel="0" collapsed="false">
      <c r="A36" s="28" t="s">
        <v>153</v>
      </c>
      <c r="B36" s="29" t="n">
        <v>11339</v>
      </c>
      <c r="C36" s="29" t="n">
        <v>10936</v>
      </c>
      <c r="D36" s="29" t="n">
        <v>9806</v>
      </c>
      <c r="E36" s="29" t="n">
        <v>7992</v>
      </c>
    </row>
    <row r="37" customFormat="false" ht="15" hidden="false" customHeight="true" outlineLevel="0" collapsed="false">
      <c r="A37" s="28" t="s">
        <v>154</v>
      </c>
      <c r="B37" s="29" t="n">
        <v>-4474</v>
      </c>
      <c r="C37" s="29" t="n">
        <v>-3283</v>
      </c>
      <c r="D37" s="29" t="n">
        <v>-3589</v>
      </c>
      <c r="E37" s="29" t="n">
        <v>-5055</v>
      </c>
    </row>
    <row r="38" customFormat="false" ht="15" hidden="false" customHeight="true" outlineLevel="0" collapsed="false">
      <c r="A38" s="28" t="s">
        <v>155</v>
      </c>
      <c r="B38" s="29" t="n">
        <v>-885</v>
      </c>
      <c r="C38" s="29" t="n">
        <v>148</v>
      </c>
      <c r="D38" s="29" t="n">
        <v>-2537</v>
      </c>
      <c r="E38" s="29" t="n">
        <v>2396</v>
      </c>
    </row>
    <row r="39" customFormat="false" ht="15" hidden="false" customHeight="true" outlineLevel="0" collapsed="false">
      <c r="A39" s="30" t="s">
        <v>156</v>
      </c>
      <c r="B39" s="31" t="n">
        <f aca="false">SUM(B32:B38)</f>
        <v>-9152</v>
      </c>
      <c r="C39" s="31" t="n">
        <f aca="false">SUM(C32:C38)</f>
        <v>-11385</v>
      </c>
      <c r="D39" s="31" t="n">
        <f aca="false">SUM(D32:D38)</f>
        <v>-9758</v>
      </c>
      <c r="E39" s="31" t="n">
        <f aca="false">SUM(E32:E38)</f>
        <v>-7362</v>
      </c>
    </row>
    <row r="41" customFormat="false" ht="15" hidden="false" customHeight="true" outlineLevel="0" collapsed="false">
      <c r="A41" s="37" t="s">
        <v>157</v>
      </c>
    </row>
    <row r="42" customFormat="false" ht="15" hidden="false" customHeight="true" outlineLevel="0" collapsed="false">
      <c r="A42" s="28" t="s">
        <v>158</v>
      </c>
      <c r="B42" s="29" t="n">
        <v>89</v>
      </c>
      <c r="C42" s="29" t="n">
        <v>-100</v>
      </c>
      <c r="D42" s="29" t="n">
        <v>-682</v>
      </c>
      <c r="E42" s="29" t="n">
        <v>53</v>
      </c>
    </row>
    <row r="43" customFormat="false" ht="15" hidden="false" customHeight="true" outlineLevel="0" collapsed="false">
      <c r="A43" s="30" t="s">
        <v>159</v>
      </c>
      <c r="B43" s="31" t="n">
        <f aca="false">B18+B29+B39+B42</f>
        <v>1757</v>
      </c>
      <c r="C43" s="31" t="n">
        <f aca="false">C18+C29+C39+C42</f>
        <v>-1481</v>
      </c>
      <c r="D43" s="31" t="n">
        <f aca="false">D18+D29+D39+D42</f>
        <v>-695</v>
      </c>
      <c r="E43" s="31" t="n">
        <f aca="false">E18+E29+E39+E42</f>
        <v>742</v>
      </c>
    </row>
    <row r="44" customFormat="false" ht="15" hidden="false" customHeight="true" outlineLevel="0" collapsed="false">
      <c r="A44" s="28" t="s">
        <v>160</v>
      </c>
      <c r="B44" s="29" t="n">
        <v>5235</v>
      </c>
      <c r="C44" s="29" t="n">
        <v>6992</v>
      </c>
      <c r="D44" s="29" t="n">
        <v>5511</v>
      </c>
      <c r="E44" s="29" t="n">
        <v>4816</v>
      </c>
    </row>
    <row r="45" customFormat="false" ht="15" hidden="false" customHeight="true" outlineLevel="0" collapsed="false">
      <c r="A45" s="30" t="s">
        <v>161</v>
      </c>
      <c r="B45" s="31" t="n">
        <f aca="false">B44+B43</f>
        <v>6992</v>
      </c>
      <c r="C45" s="31" t="n">
        <f aca="false">C44+C43</f>
        <v>5511</v>
      </c>
      <c r="D45" s="31" t="n">
        <f aca="false">D44+D43</f>
        <v>4816</v>
      </c>
      <c r="E45" s="31" t="n">
        <f aca="false">E44+E43</f>
        <v>5558</v>
      </c>
    </row>
    <row r="46" customFormat="false" ht="15" hidden="false" customHeight="true" outlineLevel="0" collapsed="false">
      <c r="A46" s="28" t="s">
        <v>162</v>
      </c>
      <c r="B46" s="29" t="n">
        <v>-4</v>
      </c>
      <c r="C46" s="29" t="n">
        <v>0</v>
      </c>
      <c r="D46" s="29" t="n">
        <v>0</v>
      </c>
      <c r="E46" s="29" t="n">
        <v>-2</v>
      </c>
    </row>
    <row r="47" customFormat="false" ht="15" hidden="false" customHeight="true" outlineLevel="0" collapsed="false">
      <c r="A47" s="30" t="s">
        <v>163</v>
      </c>
      <c r="B47" s="31" t="n">
        <f aca="false">B45+B46</f>
        <v>6988</v>
      </c>
      <c r="C47" s="31" t="n">
        <f aca="false">C45+C46</f>
        <v>5511</v>
      </c>
      <c r="D47" s="31" t="n">
        <f aca="false">D45+D46</f>
        <v>4816</v>
      </c>
      <c r="E47" s="31" t="n">
        <f aca="false">E45+E46</f>
        <v>5556</v>
      </c>
    </row>
    <row r="49" customFormat="false" ht="15" hidden="false" customHeight="true" outlineLevel="0" collapsed="false">
      <c r="A49" s="37" t="s">
        <v>164</v>
      </c>
    </row>
    <row r="50" customFormat="false" ht="15" hidden="false" customHeight="true" outlineLevel="0" collapsed="false">
      <c r="A50" s="28" t="s">
        <v>165</v>
      </c>
      <c r="B50" s="29" t="n">
        <v>8700</v>
      </c>
      <c r="C50" s="29" t="n">
        <v>6600</v>
      </c>
      <c r="D50" s="29" t="n">
        <v>10403</v>
      </c>
      <c r="E50" s="29" t="n">
        <v>10666</v>
      </c>
    </row>
    <row r="51" customFormat="false" ht="15" hidden="false" customHeight="true" outlineLevel="0" collapsed="false">
      <c r="A51" s="30" t="s">
        <v>166</v>
      </c>
      <c r="B51" s="31" t="n">
        <f aca="false">B18+B21+B22</f>
        <v>8523</v>
      </c>
      <c r="C51" s="31" t="n">
        <f aca="false">C18+C21+C22</f>
        <v>6546</v>
      </c>
      <c r="D51" s="31" t="n">
        <f aca="false">D18+D21+D22</f>
        <v>9738</v>
      </c>
      <c r="E51" s="31" t="n">
        <f aca="false">E18+E21+E22</f>
        <v>10712</v>
      </c>
    </row>
    <row r="52" customFormat="false" ht="15" hidden="false" customHeight="true" outlineLevel="0" collapsed="false">
      <c r="A52" s="32" t="s">
        <v>167</v>
      </c>
      <c r="B52" s="38" t="n">
        <f aca="false">IFERROR(B50/Income_Statement!B4,"")</f>
        <v>0.0998989527833915</v>
      </c>
      <c r="C52" s="38" t="n">
        <f aca="false">IFERROR(C50/Income_Statement!C4,"")</f>
        <v>0.0698974836905871</v>
      </c>
      <c r="D52" s="38" t="n">
        <f aca="false">IFERROR(D50/Income_Statement!D4,"")</f>
        <v>0.11186262070152</v>
      </c>
      <c r="E52" s="38" t="n">
        <f aca="false">IFERROR(E50/Income_Statement!E4,"")</f>
        <v>0.11675460297305</v>
      </c>
    </row>
    <row r="54" customFormat="false" ht="30" hidden="false" customHeight="true" outlineLevel="0" collapsed="false">
      <c r="A54" s="36" t="s">
        <v>168</v>
      </c>
    </row>
    <row r="55" customFormat="false" ht="30" hidden="false" customHeight="true" outlineLevel="0" collapsed="false">
      <c r="A55" s="36" t="s">
        <v>169</v>
      </c>
    </row>
    <row r="56" customFormat="false" ht="30" hidden="false" customHeight="true" outlineLevel="0" collapsed="false">
      <c r="A56" s="36" t="s">
        <v>170</v>
      </c>
    </row>
    <row r="57" customFormat="false" ht="30" hidden="false" customHeight="true" outlineLevel="0" collapsed="false">
      <c r="A57" s="36" t="s">
        <v>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46"/>
    <col collapsed="false" customWidth="true" hidden="false" outlineLevel="0" max="2" min="2" style="8" width="14"/>
    <col collapsed="false" customWidth="true" hidden="false" outlineLevel="0" max="3" min="3" style="8" width="100"/>
  </cols>
  <sheetData>
    <row r="1" customFormat="false" ht="15" hidden="false" customHeight="true" outlineLevel="0" collapsed="false">
      <c r="A1" s="39" t="s">
        <v>172</v>
      </c>
    </row>
    <row r="3" customFormat="false" ht="15" hidden="false" customHeight="true" outlineLevel="0" collapsed="false">
      <c r="A3" s="27" t="s">
        <v>173</v>
      </c>
      <c r="B3" s="27" t="s">
        <v>174</v>
      </c>
      <c r="C3" s="27" t="s">
        <v>175</v>
      </c>
    </row>
    <row r="4" customFormat="false" ht="18" hidden="false" customHeight="true" outlineLevel="0" collapsed="false">
      <c r="A4" s="40" t="s">
        <v>176</v>
      </c>
      <c r="B4" s="41"/>
      <c r="C4" s="41"/>
    </row>
    <row r="5" customFormat="false" ht="57.75" hidden="false" customHeight="true" outlineLevel="0" collapsed="false">
      <c r="A5" s="28" t="s">
        <v>177</v>
      </c>
      <c r="B5" s="42" t="n">
        <v>0.03</v>
      </c>
      <c r="C5" s="43" t="s">
        <v>178</v>
      </c>
    </row>
    <row r="6" customFormat="false" ht="57.75" hidden="false" customHeight="true" outlineLevel="0" collapsed="false">
      <c r="A6" s="28" t="s">
        <v>179</v>
      </c>
      <c r="B6" s="42" t="n">
        <v>0</v>
      </c>
      <c r="C6" s="43" t="s">
        <v>180</v>
      </c>
    </row>
    <row r="7" customFormat="false" ht="57.75" hidden="false" customHeight="true" outlineLevel="0" collapsed="false">
      <c r="A7" s="28" t="s">
        <v>181</v>
      </c>
      <c r="B7" s="42" t="n">
        <v>0</v>
      </c>
      <c r="C7" s="43" t="s">
        <v>182</v>
      </c>
    </row>
    <row r="8" customFormat="false" ht="57.75" hidden="false" customHeight="true" outlineLevel="0" collapsed="false">
      <c r="A8" s="28" t="s">
        <v>183</v>
      </c>
      <c r="B8" s="34" t="n">
        <f aca="false">Assumptions_FY2025!B5+Assumptions_FY2025!B6+Assumptions_FY2025!B7</f>
        <v>0.03</v>
      </c>
      <c r="C8" s="43" t="s">
        <v>184</v>
      </c>
    </row>
    <row r="9" customFormat="false" ht="57.75" hidden="false" customHeight="true" outlineLevel="0" collapsed="false">
      <c r="A9" s="28" t="s">
        <v>185</v>
      </c>
      <c r="B9" s="42" t="n">
        <v>0.004</v>
      </c>
      <c r="C9" s="43" t="s">
        <v>186</v>
      </c>
    </row>
    <row r="10" customFormat="false" ht="57.75" hidden="false" customHeight="true" outlineLevel="0" collapsed="false">
      <c r="A10" s="28" t="s">
        <v>187</v>
      </c>
      <c r="B10" s="42" t="n">
        <v>0.529</v>
      </c>
      <c r="C10" s="43" t="s">
        <v>188</v>
      </c>
    </row>
    <row r="11" customFormat="false" ht="57.75" hidden="false" customHeight="true" outlineLevel="0" collapsed="false">
      <c r="A11" s="28" t="s">
        <v>189</v>
      </c>
      <c r="B11" s="42" t="n">
        <v>0.082</v>
      </c>
      <c r="C11" s="43" t="s">
        <v>190</v>
      </c>
    </row>
    <row r="12" customFormat="false" ht="57.75" hidden="false" customHeight="true" outlineLevel="0" collapsed="false">
      <c r="A12" s="28" t="s">
        <v>191</v>
      </c>
      <c r="B12" s="42" t="n">
        <v>0.209</v>
      </c>
      <c r="C12" s="43" t="s">
        <v>192</v>
      </c>
    </row>
    <row r="13" customFormat="false" ht="57.75" hidden="false" customHeight="true" outlineLevel="0" collapsed="false">
      <c r="A13" s="28" t="s">
        <v>193</v>
      </c>
      <c r="B13" s="42" t="n">
        <v>0.018</v>
      </c>
      <c r="C13" s="43" t="s">
        <v>194</v>
      </c>
    </row>
    <row r="14" customFormat="false" ht="57.75" hidden="false" customHeight="true" outlineLevel="0" collapsed="false">
      <c r="A14" s="28" t="s">
        <v>195</v>
      </c>
      <c r="B14" s="34" t="n">
        <f aca="false">1+Assumptions_FY2025!B9-Assumptions_FY2025!B10-Assumptions_FY2025!B11-Assumptions_FY2025!B12-Assumptions_FY2025!B13</f>
        <v>0.166</v>
      </c>
      <c r="C14" s="43" t="s">
        <v>196</v>
      </c>
    </row>
    <row r="15" customFormat="false" ht="57.75" hidden="false" customHeight="true" outlineLevel="0" collapsed="false">
      <c r="A15" s="28" t="s">
        <v>197</v>
      </c>
      <c r="B15" s="42" t="n">
        <v>-0.014</v>
      </c>
      <c r="C15" s="43" t="s">
        <v>198</v>
      </c>
    </row>
    <row r="16" customFormat="false" ht="57.75" hidden="false" customHeight="true" outlineLevel="0" collapsed="false">
      <c r="A16" s="28" t="s">
        <v>199</v>
      </c>
      <c r="B16" s="42" t="n">
        <v>-0.002</v>
      </c>
      <c r="C16" s="43" t="s">
        <v>200</v>
      </c>
    </row>
    <row r="17" customFormat="false" ht="57.75" hidden="false" customHeight="true" outlineLevel="0" collapsed="false">
      <c r="A17" s="28" t="s">
        <v>201</v>
      </c>
      <c r="B17" s="42" t="n">
        <v>0</v>
      </c>
      <c r="C17" s="43" t="s">
        <v>202</v>
      </c>
    </row>
    <row r="18" customFormat="false" ht="57.75" hidden="false" customHeight="true" outlineLevel="0" collapsed="false">
      <c r="A18" s="28" t="s">
        <v>203</v>
      </c>
      <c r="B18" s="42" t="n">
        <v>0.05</v>
      </c>
      <c r="C18" s="43" t="s">
        <v>204</v>
      </c>
    </row>
    <row r="19" customFormat="false" ht="57.75" hidden="false" customHeight="true" outlineLevel="0" collapsed="false">
      <c r="A19" s="28" t="s">
        <v>205</v>
      </c>
      <c r="B19" s="42" t="n">
        <v>0.08</v>
      </c>
      <c r="C19" s="43" t="s">
        <v>206</v>
      </c>
    </row>
    <row r="20" customFormat="false" ht="57.75" hidden="false" customHeight="true" outlineLevel="0" collapsed="false">
      <c r="A20" s="28" t="s">
        <v>207</v>
      </c>
      <c r="B20" s="42" t="n">
        <v>0.24</v>
      </c>
      <c r="C20" s="43" t="s">
        <v>208</v>
      </c>
    </row>
    <row r="21" customFormat="false" ht="57.75" hidden="false" customHeight="true" outlineLevel="0" collapsed="false">
      <c r="A21" s="28" t="s">
        <v>209</v>
      </c>
      <c r="B21" s="42" t="n">
        <v>0.026</v>
      </c>
      <c r="C21" s="43" t="s">
        <v>210</v>
      </c>
    </row>
    <row r="22" customFormat="false" ht="57.75" hidden="false" customHeight="true" outlineLevel="0" collapsed="false">
      <c r="A22" s="28" t="s">
        <v>211</v>
      </c>
      <c r="B22" s="44" t="n">
        <v>2554.7</v>
      </c>
      <c r="C22" s="43" t="s">
        <v>212</v>
      </c>
    </row>
    <row r="24" customFormat="false" ht="18" hidden="false" customHeight="true" outlineLevel="0" collapsed="false">
      <c r="A24" s="40" t="s">
        <v>213</v>
      </c>
      <c r="B24" s="41"/>
      <c r="C24" s="41"/>
    </row>
    <row r="25" customFormat="false" ht="57.75" hidden="false" customHeight="true" outlineLevel="0" collapsed="false">
      <c r="A25" s="28" t="s">
        <v>214</v>
      </c>
      <c r="B25" s="42" t="n">
        <v>0.039</v>
      </c>
      <c r="C25" s="43" t="s">
        <v>215</v>
      </c>
    </row>
    <row r="26" customFormat="false" ht="57.75" hidden="false" customHeight="true" outlineLevel="0" collapsed="false">
      <c r="A26" s="28" t="s">
        <v>216</v>
      </c>
      <c r="B26" s="45" t="n">
        <v>580</v>
      </c>
      <c r="C26" s="43" t="s">
        <v>217</v>
      </c>
    </row>
    <row r="27" customFormat="false" ht="57.75" hidden="false" customHeight="true" outlineLevel="0" collapsed="false">
      <c r="A27" s="28" t="s">
        <v>218</v>
      </c>
      <c r="B27" s="45" t="n">
        <v>0</v>
      </c>
      <c r="C27" s="43" t="s">
        <v>219</v>
      </c>
    </row>
    <row r="28" customFormat="false" ht="57.75" hidden="false" customHeight="true" outlineLevel="0" collapsed="false">
      <c r="A28" s="28" t="s">
        <v>220</v>
      </c>
      <c r="B28" s="45" t="n">
        <v>0</v>
      </c>
      <c r="C28" s="43" t="s">
        <v>221</v>
      </c>
    </row>
    <row r="29" customFormat="false" ht="57.75" hidden="false" customHeight="true" outlineLevel="0" collapsed="false">
      <c r="A29" s="28" t="s">
        <v>222</v>
      </c>
      <c r="B29" s="42" t="n">
        <v>0.835</v>
      </c>
      <c r="C29" s="43" t="s">
        <v>223</v>
      </c>
    </row>
    <row r="30" customFormat="false" ht="57.75" hidden="false" customHeight="true" outlineLevel="0" collapsed="false">
      <c r="A30" s="28" t="s">
        <v>224</v>
      </c>
      <c r="B30" s="42" t="n">
        <v>0.763</v>
      </c>
      <c r="C30" s="43" t="s">
        <v>225</v>
      </c>
    </row>
    <row r="31" customFormat="false" ht="57.75" hidden="false" customHeight="true" outlineLevel="0" collapsed="false">
      <c r="A31" s="28" t="s">
        <v>226</v>
      </c>
      <c r="B31" s="42" t="n">
        <v>0.727</v>
      </c>
      <c r="C31" s="43" t="s">
        <v>227</v>
      </c>
    </row>
    <row r="32" customFormat="false" ht="57.75" hidden="false" customHeight="true" outlineLevel="0" collapsed="false">
      <c r="A32" s="28" t="s">
        <v>228</v>
      </c>
      <c r="B32" s="42" t="n">
        <v>0.608</v>
      </c>
      <c r="C32" s="43" t="s">
        <v>229</v>
      </c>
    </row>
    <row r="33" customFormat="false" ht="57.75" hidden="false" customHeight="true" outlineLevel="0" collapsed="false">
      <c r="A33" s="28" t="s">
        <v>230</v>
      </c>
      <c r="B33" s="42" t="n">
        <v>0.062</v>
      </c>
      <c r="C33" s="43" t="s">
        <v>231</v>
      </c>
    </row>
    <row r="34" customFormat="false" ht="57.75" hidden="false" customHeight="true" outlineLevel="0" collapsed="false">
      <c r="A34" s="28" t="s">
        <v>232</v>
      </c>
      <c r="B34" s="42" t="n">
        <v>0.004</v>
      </c>
      <c r="C34" s="43" t="s">
        <v>233</v>
      </c>
    </row>
    <row r="35" customFormat="false" ht="57.75" hidden="false" customHeight="true" outlineLevel="0" collapsed="false">
      <c r="A35" s="28" t="s">
        <v>234</v>
      </c>
      <c r="B35" s="45" t="n">
        <v>0</v>
      </c>
      <c r="C35" s="43" t="s">
        <v>235</v>
      </c>
    </row>
    <row r="36" customFormat="false" ht="57.75" hidden="false" customHeight="true" outlineLevel="0" collapsed="false">
      <c r="A36" s="28" t="s">
        <v>236</v>
      </c>
      <c r="B36" s="42" t="n">
        <v>-0.006</v>
      </c>
      <c r="C36" s="43" t="s">
        <v>237</v>
      </c>
    </row>
    <row r="37" customFormat="false" ht="57.75" hidden="false" customHeight="true" outlineLevel="0" collapsed="false">
      <c r="A37" s="28" t="s">
        <v>238</v>
      </c>
      <c r="B37" s="45" t="n">
        <v>0</v>
      </c>
      <c r="C37" s="43" t="s">
        <v>239</v>
      </c>
    </row>
    <row r="38" customFormat="false" ht="57.75" hidden="false" customHeight="true" outlineLevel="0" collapsed="false">
      <c r="A38" s="28" t="s">
        <v>240</v>
      </c>
      <c r="B38" s="45" t="n">
        <v>0</v>
      </c>
      <c r="C38" s="43" t="s">
        <v>241</v>
      </c>
    </row>
    <row r="39" customFormat="false" ht="57.75" hidden="false" customHeight="true" outlineLevel="0" collapsed="false">
      <c r="A39" s="28" t="s">
        <v>242</v>
      </c>
      <c r="B39" s="42" t="n">
        <v>0.02</v>
      </c>
      <c r="C39" s="43" t="s">
        <v>243</v>
      </c>
    </row>
    <row r="40" customFormat="false" ht="57.75" hidden="false" customHeight="true" outlineLevel="0" collapsed="false">
      <c r="A40" s="28" t="s">
        <v>244</v>
      </c>
      <c r="B40" s="45" t="n">
        <v>-174</v>
      </c>
      <c r="C40" s="43" t="s">
        <v>245</v>
      </c>
    </row>
    <row r="41" customFormat="false" ht="57.75" hidden="false" customHeight="true" outlineLevel="0" collapsed="false">
      <c r="A41" s="28" t="s">
        <v>246</v>
      </c>
      <c r="B41" s="45" t="n">
        <v>0</v>
      </c>
      <c r="C41" s="43" t="s">
        <v>247</v>
      </c>
    </row>
    <row r="42" customFormat="false" ht="57.75" hidden="false" customHeight="true" outlineLevel="0" collapsed="false">
      <c r="A42" s="28" t="s">
        <v>248</v>
      </c>
      <c r="B42" s="45" t="n">
        <v>0</v>
      </c>
      <c r="C42" s="43" t="s">
        <v>249</v>
      </c>
    </row>
    <row r="43" customFormat="false" ht="57.75" hidden="false" customHeight="true" outlineLevel="0" collapsed="false">
      <c r="A43" s="28" t="s">
        <v>250</v>
      </c>
      <c r="B43" s="45" t="n">
        <v>7992</v>
      </c>
      <c r="C43" s="43" t="s">
        <v>251</v>
      </c>
    </row>
    <row r="44" customFormat="false" ht="57.75" hidden="false" customHeight="true" outlineLevel="0" collapsed="false">
      <c r="A44" s="28" t="s">
        <v>252</v>
      </c>
      <c r="B44" s="45" t="n">
        <v>-5055</v>
      </c>
      <c r="C44" s="43" t="s">
        <v>253</v>
      </c>
    </row>
    <row r="45" customFormat="false" ht="57.75" hidden="false" customHeight="true" outlineLevel="0" collapsed="false">
      <c r="A45" s="28" t="s">
        <v>254</v>
      </c>
      <c r="B45" s="45" t="n">
        <v>0</v>
      </c>
      <c r="C45" s="43" t="s">
        <v>255</v>
      </c>
    </row>
    <row r="46" customFormat="false" ht="57.75" hidden="false" customHeight="true" outlineLevel="0" collapsed="false">
      <c r="A46" s="28" t="s">
        <v>256</v>
      </c>
      <c r="B46" s="45" t="n">
        <v>0</v>
      </c>
      <c r="C46" s="43" t="s">
        <v>257</v>
      </c>
    </row>
    <row r="48" customFormat="false" ht="30" hidden="false" customHeight="true" outlineLevel="0" collapsed="false">
      <c r="A48" s="36" t="s">
        <v>258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58"/>
    <col collapsed="false" customWidth="true" hidden="false" outlineLevel="0" max="3" min="2" style="8" width="14"/>
    <col collapsed="false" customWidth="true" hidden="false" outlineLevel="0" max="4" min="4" style="8" width="16"/>
  </cols>
  <sheetData>
    <row r="1" customFormat="false" ht="15" hidden="false" customHeight="true" outlineLevel="0" collapsed="false">
      <c r="A1" s="39" t="s">
        <v>259</v>
      </c>
    </row>
    <row r="3" customFormat="false" ht="15" hidden="false" customHeight="true" outlineLevel="0" collapsed="false">
      <c r="A3" s="27" t="s">
        <v>260</v>
      </c>
      <c r="B3" s="27" t="s">
        <v>261</v>
      </c>
      <c r="C3" s="27" t="s">
        <v>262</v>
      </c>
      <c r="D3" s="27" t="s">
        <v>263</v>
      </c>
    </row>
    <row r="4" customFormat="false" ht="15.75" hidden="false" customHeight="true" outlineLevel="0" collapsed="false">
      <c r="A4" s="27" t="s">
        <v>264</v>
      </c>
      <c r="B4" s="46"/>
      <c r="C4" s="46"/>
      <c r="D4" s="46"/>
    </row>
    <row r="5" customFormat="false" ht="15" hidden="false" customHeight="true" outlineLevel="0" collapsed="false">
      <c r="A5" s="28" t="s">
        <v>89</v>
      </c>
      <c r="B5" s="47" t="n">
        <f aca="false">Income_Statement!E4</f>
        <v>91354</v>
      </c>
      <c r="C5" s="47" t="n">
        <f aca="false">B5*(1+Assumptions_FY2025!B8)</f>
        <v>94094.62</v>
      </c>
      <c r="D5" s="34" t="n">
        <f aca="false">IFERROR(C5/B5-1,"")</f>
        <v>0.03</v>
      </c>
    </row>
    <row r="6" customFormat="false" ht="15" hidden="false" customHeight="true" outlineLevel="0" collapsed="false">
      <c r="A6" s="28" t="s">
        <v>90</v>
      </c>
      <c r="B6" s="47" t="n">
        <f aca="false">Income_Statement!E5</f>
        <v>366</v>
      </c>
      <c r="C6" s="47" t="n">
        <f aca="false">C5*Assumptions_FY2025!B9</f>
        <v>376.37848</v>
      </c>
      <c r="D6" s="34" t="n">
        <f aca="false">IFERROR(C6/B6-1,"")</f>
        <v>0.0283565027322403</v>
      </c>
    </row>
    <row r="7" customFormat="false" ht="15" hidden="false" customHeight="true" outlineLevel="0" collapsed="false">
      <c r="A7" s="28" t="s">
        <v>91</v>
      </c>
      <c r="B7" s="47" t="n">
        <f aca="false">Income_Statement!E6</f>
        <v>-48670</v>
      </c>
      <c r="C7" s="47" t="n">
        <f aca="false">-C5*Assumptions_FY2025!B10</f>
        <v>-49776.05398</v>
      </c>
      <c r="D7" s="34" t="n">
        <f aca="false">IFERROR(C7/B7-1,"")</f>
        <v>0.0227255800287651</v>
      </c>
    </row>
    <row r="8" customFormat="false" ht="15" hidden="false" customHeight="true" outlineLevel="0" collapsed="false">
      <c r="A8" s="28" t="s">
        <v>92</v>
      </c>
      <c r="B8" s="47" t="n">
        <f aca="false">Income_Statement!E7</f>
        <v>-7567</v>
      </c>
      <c r="C8" s="47" t="n">
        <f aca="false">-C5*Assumptions_FY2025!B11</f>
        <v>-7715.75884</v>
      </c>
      <c r="D8" s="34" t="n">
        <f aca="false">IFERROR(C8/B8-1,"")</f>
        <v>0.0196588925597991</v>
      </c>
    </row>
    <row r="9" customFormat="false" ht="15" hidden="false" customHeight="true" outlineLevel="0" collapsed="false">
      <c r="A9" s="28" t="s">
        <v>93</v>
      </c>
      <c r="B9" s="47" t="n">
        <f aca="false">Income_Statement!E8</f>
        <v>-18112</v>
      </c>
      <c r="C9" s="47" t="n">
        <f aca="false">-C5*Assumptions_FY2025!B12</f>
        <v>-19665.77558</v>
      </c>
      <c r="D9" s="34" t="n">
        <f aca="false">IFERROR(C9/B9-1,"")</f>
        <v>0.0857870792844522</v>
      </c>
    </row>
    <row r="10" customFormat="false" ht="15" hidden="false" customHeight="true" outlineLevel="0" collapsed="false">
      <c r="A10" s="28" t="s">
        <v>94</v>
      </c>
      <c r="B10" s="47" t="n">
        <f aca="false">Income_Statement!E9</f>
        <v>-1667</v>
      </c>
      <c r="C10" s="47" t="n">
        <f aca="false">-C5*Assumptions_FY2025!B13</f>
        <v>-1693.70316</v>
      </c>
      <c r="D10" s="34" t="n">
        <f aca="false">IFERROR(C10/B10-1,"")</f>
        <v>0.0160186922615475</v>
      </c>
    </row>
    <row r="11" customFormat="false" ht="15" hidden="false" customHeight="true" outlineLevel="0" collapsed="false">
      <c r="A11" s="48" t="s">
        <v>265</v>
      </c>
      <c r="B11" s="49" t="n">
        <f aca="false">Income_Statement!E10</f>
        <v>15704</v>
      </c>
      <c r="C11" s="31" t="n">
        <f aca="false">SUM(C5:C10)</f>
        <v>15619.70692</v>
      </c>
      <c r="D11" s="50" t="n">
        <f aca="false">IFERROR(C11/B11-1,"")</f>
        <v>-0.00536761844116129</v>
      </c>
    </row>
    <row r="12" customFormat="false" ht="15" hidden="false" customHeight="true" outlineLevel="0" collapsed="false">
      <c r="A12" s="28" t="s">
        <v>266</v>
      </c>
      <c r="B12" s="47" t="n">
        <f aca="false">Income_Statement!E11+Income_Statement!E12</f>
        <v>-1071</v>
      </c>
      <c r="C12" s="47" t="n">
        <f aca="false">C5*Assumptions_FY2025!B15</f>
        <v>-1317.32468</v>
      </c>
      <c r="D12" s="34" t="n">
        <f aca="false">IFERROR(C12/B12-1,"")</f>
        <v>0.229995032679738</v>
      </c>
    </row>
    <row r="13" customFormat="false" ht="15" hidden="false" customHeight="true" outlineLevel="0" collapsed="false">
      <c r="A13" s="48" t="s">
        <v>98</v>
      </c>
      <c r="B13" s="49" t="n">
        <f aca="false">Income_Statement!E13</f>
        <v>14633</v>
      </c>
      <c r="C13" s="31" t="n">
        <f aca="false">C11+C12</f>
        <v>14302.38224</v>
      </c>
      <c r="D13" s="50" t="n">
        <f aca="false">IFERROR(C13/B13-1,"")</f>
        <v>-0.0225939834620377</v>
      </c>
    </row>
    <row r="14" customFormat="false" ht="15" hidden="false" customHeight="true" outlineLevel="0" collapsed="false">
      <c r="A14" s="28" t="s">
        <v>267</v>
      </c>
      <c r="B14" s="47" t="n">
        <f aca="false">Income_Statement!E14+Income_Statement!E15</f>
        <v>91</v>
      </c>
      <c r="C14" s="47" t="n">
        <f aca="false">C5*Assumptions_FY2025!B16</f>
        <v>-188.18924</v>
      </c>
      <c r="D14" s="34" t="n">
        <f aca="false">IFERROR(C14/B14-1,"")</f>
        <v>-3.06801362637363</v>
      </c>
    </row>
    <row r="15" customFormat="false" ht="15" hidden="false" customHeight="true" outlineLevel="0" collapsed="false">
      <c r="A15" s="48" t="s">
        <v>101</v>
      </c>
      <c r="B15" s="49" t="n">
        <f aca="false">Income_Statement!E16</f>
        <v>14724</v>
      </c>
      <c r="C15" s="31" t="n">
        <f aca="false">C13+C14</f>
        <v>14114.193</v>
      </c>
      <c r="D15" s="50" t="n">
        <f aca="false">IFERROR(C15/B15-1,"")</f>
        <v>-0.0414158516707415</v>
      </c>
    </row>
    <row r="16" customFormat="false" ht="15" hidden="false" customHeight="true" outlineLevel="0" collapsed="false">
      <c r="A16" s="28" t="s">
        <v>102</v>
      </c>
      <c r="B16" s="47" t="n">
        <f aca="false">Income_Statement!E17</f>
        <v>358</v>
      </c>
      <c r="C16" s="47" t="n">
        <f aca="false">B16*(1+Assumptions_FY2025!B17)</f>
        <v>358</v>
      </c>
      <c r="D16" s="34" t="n">
        <f aca="false">IFERROR(C16/B16-1,"")</f>
        <v>0</v>
      </c>
    </row>
    <row r="17" customFormat="false" ht="15" hidden="false" customHeight="true" outlineLevel="0" collapsed="false">
      <c r="A17" s="28" t="s">
        <v>103</v>
      </c>
      <c r="B17" s="47" t="n">
        <f aca="false">Income_Statement!E18</f>
        <v>-1843</v>
      </c>
      <c r="C17" s="47" t="n">
        <f aca="false">(Income_Statement!E19*(1+Assumptions_FY2025!B18))-C16</f>
        <v>-1917.25</v>
      </c>
      <c r="D17" s="34" t="n">
        <f aca="false">IFERROR(C17/B17-1,"")</f>
        <v>0.0402875746066196</v>
      </c>
    </row>
    <row r="18" customFormat="false" ht="15" hidden="false" customHeight="true" outlineLevel="0" collapsed="false">
      <c r="A18" s="48" t="s">
        <v>104</v>
      </c>
      <c r="B18" s="49" t="n">
        <f aca="false">Income_Statement!E19</f>
        <v>-1485</v>
      </c>
      <c r="C18" s="31" t="n">
        <f aca="false">C16+C17</f>
        <v>-1559.25</v>
      </c>
      <c r="D18" s="50" t="n">
        <f aca="false">IFERROR(C18/B18-1,"")</f>
        <v>0.05</v>
      </c>
    </row>
    <row r="19" customFormat="false" ht="15" hidden="false" customHeight="true" outlineLevel="0" collapsed="false">
      <c r="A19" s="48" t="s">
        <v>105</v>
      </c>
      <c r="B19" s="49" t="n">
        <f aca="false">Income_Statement!E20</f>
        <v>13239</v>
      </c>
      <c r="C19" s="31" t="n">
        <f aca="false">C15+C18</f>
        <v>12554.943</v>
      </c>
      <c r="D19" s="50" t="n">
        <f aca="false">IFERROR(C19/B19-1,"")</f>
        <v>-0.0516698391117152</v>
      </c>
    </row>
    <row r="20" customFormat="false" ht="15" hidden="false" customHeight="true" outlineLevel="0" collapsed="false">
      <c r="A20" s="28" t="s">
        <v>106</v>
      </c>
      <c r="B20" s="47" t="n">
        <f aca="false">Income_Statement!E21</f>
        <v>1249</v>
      </c>
      <c r="C20" s="47" t="n">
        <f aca="false">B20*(1+Assumptions_FY2025!B19)</f>
        <v>1348.92</v>
      </c>
      <c r="D20" s="34" t="n">
        <f aca="false">IFERROR(C20/B20-1,"")</f>
        <v>0.0800000000000001</v>
      </c>
    </row>
    <row r="21" customFormat="false" ht="15" hidden="false" customHeight="true" outlineLevel="0" collapsed="false">
      <c r="A21" s="28" t="s">
        <v>107</v>
      </c>
      <c r="B21" s="47" t="n">
        <f aca="false">Income_Statement!E22</f>
        <v>-3314</v>
      </c>
      <c r="C21" s="47" t="n">
        <f aca="false">-C19*Assumptions_FY2025!B20</f>
        <v>-3013.18632</v>
      </c>
      <c r="D21" s="34" t="n">
        <f aca="false">IFERROR(C21/B21-1,"")</f>
        <v>-0.0907705733252865</v>
      </c>
    </row>
    <row r="22" customFormat="false" ht="15" hidden="false" customHeight="true" outlineLevel="0" collapsed="false">
      <c r="A22" s="48" t="s">
        <v>108</v>
      </c>
      <c r="B22" s="49" t="n">
        <f aca="false">Income_Statement!E23</f>
        <v>11174</v>
      </c>
      <c r="C22" s="31" t="n">
        <f aca="false">C19+C20+C21</f>
        <v>10890.67668</v>
      </c>
      <c r="D22" s="50" t="n">
        <f aca="false">IFERROR(C22/B22-1,"")</f>
        <v>-0.0253555861822085</v>
      </c>
    </row>
    <row r="23" customFormat="false" ht="15" hidden="false" customHeight="true" outlineLevel="0" collapsed="false">
      <c r="A23" s="28" t="s">
        <v>109</v>
      </c>
      <c r="B23" s="47" t="n">
        <f aca="false">Income_Statement!E24</f>
        <v>290</v>
      </c>
      <c r="C23" s="47" t="n">
        <f aca="false">C22*Assumptions_FY2025!B21</f>
        <v>283.15759368</v>
      </c>
      <c r="D23" s="34" t="n">
        <f aca="false">IFERROR(C23/B23-1,"")</f>
        <v>-0.023594504551724</v>
      </c>
    </row>
    <row r="24" customFormat="false" ht="15" hidden="false" customHeight="true" outlineLevel="0" collapsed="false">
      <c r="A24" s="48" t="s">
        <v>110</v>
      </c>
      <c r="B24" s="49" t="n">
        <f aca="false">Income_Statement!E25</f>
        <v>10884</v>
      </c>
      <c r="C24" s="31" t="n">
        <f aca="false">C22-C23</f>
        <v>10607.51908632</v>
      </c>
      <c r="D24" s="50" t="n">
        <f aca="false">IFERROR(C24/B24-1,"")</f>
        <v>-0.0254025095259094</v>
      </c>
    </row>
    <row r="26" customFormat="false" ht="15" hidden="false" customHeight="true" outlineLevel="0" collapsed="false">
      <c r="A26" s="28" t="s">
        <v>111</v>
      </c>
      <c r="B26" s="51" t="n">
        <f aca="false">IFERROR(B11/B5,"")</f>
        <v>0.171902708146332</v>
      </c>
      <c r="C26" s="34" t="n">
        <f aca="false">IFERROR(C11/C5,"")</f>
        <v>0.166</v>
      </c>
    </row>
    <row r="27" customFormat="false" ht="15" hidden="false" customHeight="true" outlineLevel="0" collapsed="false">
      <c r="A27" s="28" t="s">
        <v>112</v>
      </c>
      <c r="B27" s="51" t="n">
        <f aca="false">IFERROR(B13/B5,"")</f>
        <v>0.160179083565033</v>
      </c>
      <c r="C27" s="34" t="n">
        <f aca="false">IFERROR(C13/C5,"")</f>
        <v>0.152</v>
      </c>
    </row>
    <row r="28" customFormat="false" ht="15" hidden="false" customHeight="true" outlineLevel="0" collapsed="false">
      <c r="A28" s="28" t="s">
        <v>113</v>
      </c>
      <c r="B28" s="51" t="n">
        <f aca="false">IFERROR(B15/B5,"")</f>
        <v>0.161175208529457</v>
      </c>
      <c r="C28" s="34" t="n">
        <f aca="false">IFERROR(C15/C5,"")</f>
        <v>0.15</v>
      </c>
    </row>
    <row r="29" customFormat="false" ht="15" hidden="false" customHeight="true" outlineLevel="0" collapsed="false">
      <c r="A29" s="28" t="s">
        <v>114</v>
      </c>
      <c r="B29" s="51" t="n">
        <f aca="false">IFERROR(B24/B5,"")</f>
        <v>0.119140924316396</v>
      </c>
      <c r="C29" s="34" t="n">
        <f aca="false">IFERROR(C24/C5,"")</f>
        <v>0.112732471700507</v>
      </c>
    </row>
    <row r="30" customFormat="false" ht="15" hidden="false" customHeight="true" outlineLevel="0" collapsed="false">
      <c r="A30" s="28" t="s">
        <v>207</v>
      </c>
      <c r="B30" s="51" t="n">
        <f aca="false">IFERROR(-B21/B19,"")</f>
        <v>0.250321021225168</v>
      </c>
      <c r="C30" s="34" t="n">
        <f aca="false">IFERROR(-C21/C19,"")</f>
        <v>0.24</v>
      </c>
    </row>
    <row r="32" customFormat="false" ht="15" hidden="false" customHeight="true" outlineLevel="0" collapsed="false">
      <c r="A32" s="28" t="s">
        <v>268</v>
      </c>
      <c r="B32" s="52" t="n">
        <f aca="false">Income_Statement!E33</f>
        <v>4.19</v>
      </c>
      <c r="C32" s="53" t="n">
        <f aca="false">IFERROR(C24/Assumptions_FY2025!B22,"")</f>
        <v>4.15215840854895</v>
      </c>
    </row>
    <row r="34" customFormat="false" ht="15.75" hidden="false" customHeight="true" outlineLevel="0" collapsed="false">
      <c r="A34" s="27" t="s">
        <v>269</v>
      </c>
      <c r="B34" s="46"/>
      <c r="C34" s="46"/>
      <c r="D34" s="46"/>
    </row>
    <row r="35" customFormat="false" ht="13.5" hidden="false" customHeight="true" outlineLevel="0" collapsed="false">
      <c r="A35" s="54" t="s">
        <v>123</v>
      </c>
    </row>
    <row r="36" customFormat="false" ht="15" hidden="false" customHeight="true" outlineLevel="0" collapsed="false">
      <c r="A36" s="28" t="s">
        <v>270</v>
      </c>
      <c r="B36" s="47" t="n">
        <f aca="false">Cash_Flow_Statement!E5</f>
        <v>14724</v>
      </c>
      <c r="C36" s="55" t="n">
        <f aca="false">C15</f>
        <v>14114.193</v>
      </c>
      <c r="D36" s="34" t="n">
        <f aca="false">IFERROR(C36/B36-1,"")</f>
        <v>-0.0414158516707415</v>
      </c>
    </row>
    <row r="37" customFormat="false" ht="15" hidden="false" customHeight="true" outlineLevel="0" collapsed="false">
      <c r="A37" s="28" t="s">
        <v>125</v>
      </c>
      <c r="B37" s="47" t="n">
        <f aca="false">Cash_Flow_Statement!E6</f>
        <v>3582</v>
      </c>
      <c r="C37" s="47" t="n">
        <f aca="false">C5*Assumptions_FY2025!B25</f>
        <v>3669.69018</v>
      </c>
      <c r="D37" s="34" t="n">
        <f aca="false">IFERROR(C37/B37-1,"")</f>
        <v>0.0244807872696817</v>
      </c>
    </row>
    <row r="38" customFormat="false" ht="15" hidden="false" customHeight="true" outlineLevel="0" collapsed="false">
      <c r="A38" s="28" t="s">
        <v>126</v>
      </c>
      <c r="B38" s="47" t="n">
        <f aca="false">Cash_Flow_Statement!E7</f>
        <v>580</v>
      </c>
      <c r="C38" s="47" t="n">
        <f aca="false">Assumptions_FY2025!B26</f>
        <v>580</v>
      </c>
      <c r="D38" s="34" t="n">
        <f aca="false">IFERROR(C38/B38-1,"")</f>
        <v>0</v>
      </c>
    </row>
    <row r="39" customFormat="false" ht="15" hidden="false" customHeight="true" outlineLevel="0" collapsed="false">
      <c r="A39" s="28" t="s">
        <v>271</v>
      </c>
      <c r="B39" s="47" t="n">
        <f aca="false">Cash_Flow_Statement!E8+Cash_Flow_Statement!E9</f>
        <v>-167</v>
      </c>
      <c r="C39" s="47" t="n">
        <f aca="false">Assumptions_FY2025!B27</f>
        <v>0</v>
      </c>
      <c r="D39" s="34" t="n">
        <f aca="false">IFERROR(C39/B39-1,"")</f>
        <v>-1</v>
      </c>
    </row>
    <row r="40" customFormat="false" ht="15" hidden="false" customHeight="true" outlineLevel="0" collapsed="false">
      <c r="A40" s="48" t="s">
        <v>129</v>
      </c>
      <c r="B40" s="49" t="n">
        <f aca="false">Cash_Flow_Statement!E10</f>
        <v>18719</v>
      </c>
      <c r="C40" s="31" t="n">
        <f aca="false">SUM(C36:C39)</f>
        <v>18363.88318</v>
      </c>
      <c r="D40" s="50" t="n">
        <f aca="false">IFERROR(C40/B40-1,"")</f>
        <v>-0.0189709290026174</v>
      </c>
    </row>
    <row r="41" customFormat="false" ht="15" hidden="false" customHeight="true" outlineLevel="0" collapsed="false">
      <c r="A41" s="28" t="s">
        <v>272</v>
      </c>
      <c r="B41" s="47" t="n">
        <f aca="false">Cash_Flow_Statement!E11+Cash_Flow_Statement!E12</f>
        <v>874</v>
      </c>
      <c r="C41" s="47" t="n">
        <f aca="false">Assumptions_FY2025!B28</f>
        <v>0</v>
      </c>
      <c r="D41" s="34" t="n">
        <f aca="false">IFERROR(C41/B41-1,"")</f>
        <v>-1</v>
      </c>
    </row>
    <row r="42" customFormat="false" ht="15" hidden="false" customHeight="true" outlineLevel="0" collapsed="false">
      <c r="A42" s="48" t="s">
        <v>132</v>
      </c>
      <c r="B42" s="49" t="n">
        <f aca="false">Cash_Flow_Statement!E13</f>
        <v>19593</v>
      </c>
      <c r="C42" s="31" t="n">
        <f aca="false">C40+C41</f>
        <v>18363.88318</v>
      </c>
      <c r="D42" s="50" t="n">
        <f aca="false">IFERROR(C42/B42-1,"")</f>
        <v>-0.0627324462818352</v>
      </c>
    </row>
    <row r="43" customFormat="false" ht="15" hidden="false" customHeight="true" outlineLevel="0" collapsed="false">
      <c r="A43" s="28" t="s">
        <v>133</v>
      </c>
      <c r="B43" s="47" t="n">
        <f aca="false">Cash_Flow_Statement!E14</f>
        <v>-1539</v>
      </c>
      <c r="C43" s="47" t="n">
        <f aca="false">C17*Assumptions_FY2025!B29</f>
        <v>-1600.90375</v>
      </c>
      <c r="D43" s="34" t="n">
        <f aca="false">IFERROR(C43/B43-1,"")</f>
        <v>0.0402233593242365</v>
      </c>
    </row>
    <row r="44" customFormat="false" ht="15" hidden="false" customHeight="true" outlineLevel="0" collapsed="false">
      <c r="A44" s="28" t="s">
        <v>134</v>
      </c>
      <c r="B44" s="47" t="n">
        <f aca="false">Cash_Flow_Statement!E15</f>
        <v>273</v>
      </c>
      <c r="C44" s="47" t="n">
        <f aca="false">C16*Assumptions_FY2025!B30</f>
        <v>273.154</v>
      </c>
      <c r="D44" s="34" t="n">
        <f aca="false">IFERROR(C44/B44-1,"")</f>
        <v>0.000564102564102553</v>
      </c>
    </row>
    <row r="45" customFormat="false" ht="15" hidden="false" customHeight="true" outlineLevel="0" collapsed="false">
      <c r="A45" s="28" t="s">
        <v>135</v>
      </c>
      <c r="B45" s="47" t="n">
        <f aca="false">Cash_Flow_Statement!E16</f>
        <v>-2411</v>
      </c>
      <c r="C45" s="47" t="n">
        <f aca="false">C21*Assumptions_FY2025!B31</f>
        <v>-2190.58645464</v>
      </c>
      <c r="D45" s="34" t="n">
        <f aca="false">IFERROR(C45/B45-1,"")</f>
        <v>-0.0914199690418912</v>
      </c>
    </row>
    <row r="46" customFormat="false" ht="15" hidden="false" customHeight="true" outlineLevel="0" collapsed="false">
      <c r="A46" s="28" t="s">
        <v>136</v>
      </c>
      <c r="B46" s="47" t="n">
        <f aca="false">Cash_Flow_Statement!E17</f>
        <v>759</v>
      </c>
      <c r="C46" s="47" t="n">
        <f aca="false">C20*Assumptions_FY2025!B32</f>
        <v>820.14336</v>
      </c>
      <c r="D46" s="34" t="n">
        <f aca="false">IFERROR(C46/B46-1,"")</f>
        <v>0.0805577865612648</v>
      </c>
    </row>
    <row r="47" customFormat="false" ht="15" hidden="false" customHeight="true" outlineLevel="0" collapsed="false">
      <c r="A47" s="48" t="s">
        <v>137</v>
      </c>
      <c r="B47" s="49" t="n">
        <f aca="false">Cash_Flow_Statement!E18</f>
        <v>16675</v>
      </c>
      <c r="C47" s="31" t="n">
        <f aca="false">C42+C43+C44+C45+C46</f>
        <v>15665.69033536</v>
      </c>
      <c r="D47" s="50" t="n">
        <f aca="false">IFERROR(C47/B47-1,"")</f>
        <v>-0.0605283157205396</v>
      </c>
    </row>
    <row r="49" customFormat="false" ht="13.5" hidden="false" customHeight="true" outlineLevel="0" collapsed="false">
      <c r="A49" s="54" t="s">
        <v>138</v>
      </c>
    </row>
    <row r="50" customFormat="false" ht="15" hidden="false" customHeight="true" outlineLevel="0" collapsed="false">
      <c r="A50" s="28" t="s">
        <v>139</v>
      </c>
      <c r="B50" s="47" t="n">
        <f aca="false">Cash_Flow_Statement!E21</f>
        <v>-5638</v>
      </c>
      <c r="C50" s="47" t="n">
        <f aca="false">-C5*Assumptions_FY2025!B33</f>
        <v>-5833.86644</v>
      </c>
      <c r="D50" s="34" t="n">
        <f aca="false">IFERROR(C50/B50-1,"")</f>
        <v>0.0347404114934373</v>
      </c>
    </row>
    <row r="51" customFormat="false" ht="15" hidden="false" customHeight="true" outlineLevel="0" collapsed="false">
      <c r="A51" s="28" t="s">
        <v>140</v>
      </c>
      <c r="B51" s="47" t="n">
        <f aca="false">Cash_Flow_Statement!E22</f>
        <v>-325</v>
      </c>
      <c r="C51" s="47" t="n">
        <f aca="false">-C5*Assumptions_FY2025!B34</f>
        <v>-376.37848</v>
      </c>
      <c r="D51" s="34" t="n">
        <f aca="false">IFERROR(C51/B51-1,"")</f>
        <v>0.158087630769231</v>
      </c>
    </row>
    <row r="52" customFormat="false" ht="15" hidden="false" customHeight="true" outlineLevel="0" collapsed="false">
      <c r="A52" s="28" t="s">
        <v>273</v>
      </c>
      <c r="B52" s="47" t="n">
        <f aca="false">Cash_Flow_Statement!E23+Cash_Flow_Statement!E24</f>
        <v>-832</v>
      </c>
      <c r="C52" s="47" t="n">
        <f aca="false">Assumptions_FY2025!B35</f>
        <v>0</v>
      </c>
      <c r="D52" s="34" t="n">
        <f aca="false">IFERROR(C52/B52-1,"")</f>
        <v>-1</v>
      </c>
    </row>
    <row r="53" customFormat="false" ht="15" hidden="false" customHeight="true" outlineLevel="0" collapsed="false">
      <c r="A53" s="28" t="s">
        <v>143</v>
      </c>
      <c r="B53" s="47" t="n">
        <f aca="false">Cash_Flow_Statement!E25</f>
        <v>-532</v>
      </c>
      <c r="C53" s="47" t="n">
        <f aca="false">C5*Assumptions_FY2025!B36</f>
        <v>-564.56772</v>
      </c>
      <c r="D53" s="34" t="n">
        <f aca="false">IFERROR(C53/B53-1,"")</f>
        <v>0.0612175187969926</v>
      </c>
    </row>
    <row r="54" customFormat="false" ht="15" hidden="false" customHeight="true" outlineLevel="0" collapsed="false">
      <c r="A54" s="28" t="s">
        <v>144</v>
      </c>
      <c r="B54" s="47" t="n">
        <f aca="false">Cash_Flow_Statement!E26</f>
        <v>0</v>
      </c>
      <c r="C54" s="47" t="n">
        <f aca="false">Assumptions_FY2025!B37</f>
        <v>0</v>
      </c>
      <c r="D54" s="34" t="str">
        <f aca="false">IFERROR(C54/B54-1,"")</f>
        <v/>
      </c>
    </row>
    <row r="55" customFormat="false" ht="15" hidden="false" customHeight="true" outlineLevel="0" collapsed="false">
      <c r="A55" s="28" t="s">
        <v>274</v>
      </c>
      <c r="B55" s="47" t="n">
        <f aca="false">Cash_Flow_Statement!E27+Cash_Flow_Statement!E28</f>
        <v>-1297</v>
      </c>
      <c r="C55" s="47" t="n">
        <f aca="false">Assumptions_FY2025!B38</f>
        <v>0</v>
      </c>
      <c r="D55" s="34" t="n">
        <f aca="false">IFERROR(C55/B55-1,"")</f>
        <v>-1</v>
      </c>
    </row>
    <row r="56" customFormat="false" ht="15" hidden="false" customHeight="true" outlineLevel="0" collapsed="false">
      <c r="A56" s="48" t="s">
        <v>147</v>
      </c>
      <c r="B56" s="49" t="n">
        <f aca="false">Cash_Flow_Statement!E29</f>
        <v>-8624</v>
      </c>
      <c r="C56" s="31" t="n">
        <f aca="false">SUM(C50:C55)</f>
        <v>-6774.81264</v>
      </c>
      <c r="D56" s="50" t="n">
        <f aca="false">IFERROR(C56/B56-1,"")</f>
        <v>-0.214423395176252</v>
      </c>
    </row>
    <row r="58" customFormat="false" ht="13.5" hidden="false" customHeight="true" outlineLevel="0" collapsed="false">
      <c r="A58" s="54" t="s">
        <v>148</v>
      </c>
    </row>
    <row r="59" customFormat="false" ht="15" hidden="false" customHeight="true" outlineLevel="0" collapsed="false">
      <c r="A59" s="28" t="s">
        <v>149</v>
      </c>
      <c r="B59" s="47" t="n">
        <f aca="false">Cash_Flow_Statement!E32</f>
        <v>-7816</v>
      </c>
      <c r="C59" s="47" t="n">
        <f aca="false">B59*(1+Assumptions_FY2025!B39)</f>
        <v>-7972.32</v>
      </c>
      <c r="D59" s="34" t="n">
        <f aca="false">IFERROR(C59/B59-1,"")</f>
        <v>0.02</v>
      </c>
    </row>
    <row r="60" customFormat="false" ht="15" hidden="false" customHeight="true" outlineLevel="0" collapsed="false">
      <c r="A60" s="28" t="s">
        <v>150</v>
      </c>
      <c r="B60" s="47" t="n">
        <f aca="false">Cash_Flow_Statement!E33</f>
        <v>-174</v>
      </c>
      <c r="C60" s="47" t="n">
        <f aca="false">Assumptions_FY2025!B40</f>
        <v>-174</v>
      </c>
      <c r="D60" s="34" t="n">
        <f aca="false">IFERROR(C60/B60-1,"")</f>
        <v>0</v>
      </c>
    </row>
    <row r="61" customFormat="false" ht="15" hidden="false" customHeight="true" outlineLevel="0" collapsed="false">
      <c r="A61" s="28" t="s">
        <v>151</v>
      </c>
      <c r="B61" s="47" t="n">
        <f aca="false">Cash_Flow_Statement!E34</f>
        <v>-27</v>
      </c>
      <c r="C61" s="47" t="n">
        <f aca="false">Assumptions_FY2025!B41</f>
        <v>0</v>
      </c>
      <c r="D61" s="34" t="n">
        <f aca="false">IFERROR(C61/B61-1,"")</f>
        <v>-1</v>
      </c>
    </row>
    <row r="62" customFormat="false" ht="15" hidden="false" customHeight="true" outlineLevel="0" collapsed="false">
      <c r="A62" s="28" t="s">
        <v>152</v>
      </c>
      <c r="B62" s="47" t="n">
        <f aca="false">Cash_Flow_Statement!E35</f>
        <v>-4678</v>
      </c>
      <c r="C62" s="47" t="n">
        <f aca="false">Assumptions_FY2025!B42</f>
        <v>0</v>
      </c>
      <c r="D62" s="34" t="n">
        <f aca="false">IFERROR(C62/B62-1,"")</f>
        <v>-1</v>
      </c>
    </row>
    <row r="63" customFormat="false" ht="15" hidden="false" customHeight="true" outlineLevel="0" collapsed="false">
      <c r="A63" s="28" t="s">
        <v>153</v>
      </c>
      <c r="B63" s="47" t="n">
        <f aca="false">Cash_Flow_Statement!E36</f>
        <v>7992</v>
      </c>
      <c r="C63" s="47" t="n">
        <f aca="false">Assumptions_FY2025!B43</f>
        <v>7992</v>
      </c>
      <c r="D63" s="34" t="n">
        <f aca="false">IFERROR(C63/B63-1,"")</f>
        <v>0</v>
      </c>
    </row>
    <row r="64" customFormat="false" ht="15" hidden="false" customHeight="true" outlineLevel="0" collapsed="false">
      <c r="A64" s="28" t="s">
        <v>154</v>
      </c>
      <c r="B64" s="47" t="n">
        <f aca="false">Cash_Flow_Statement!E37</f>
        <v>-5055</v>
      </c>
      <c r="C64" s="47" t="n">
        <f aca="false">Assumptions_FY2025!B44</f>
        <v>-5055</v>
      </c>
      <c r="D64" s="34" t="n">
        <f aca="false">IFERROR(C64/B64-1,"")</f>
        <v>0</v>
      </c>
    </row>
    <row r="65" customFormat="false" ht="15" hidden="false" customHeight="true" outlineLevel="0" collapsed="false">
      <c r="A65" s="28" t="s">
        <v>155</v>
      </c>
      <c r="B65" s="47" t="n">
        <f aca="false">Cash_Flow_Statement!E38</f>
        <v>2396</v>
      </c>
      <c r="C65" s="47" t="n">
        <f aca="false">Assumptions_FY2025!B45</f>
        <v>0</v>
      </c>
      <c r="D65" s="34" t="n">
        <f aca="false">IFERROR(C65/B65-1,"")</f>
        <v>-1</v>
      </c>
    </row>
    <row r="66" customFormat="false" ht="15" hidden="false" customHeight="true" outlineLevel="0" collapsed="false">
      <c r="A66" s="48" t="s">
        <v>156</v>
      </c>
      <c r="B66" s="49" t="n">
        <f aca="false">Cash_Flow_Statement!E39</f>
        <v>-7362</v>
      </c>
      <c r="C66" s="31" t="n">
        <f aca="false">SUM(C59:C65)</f>
        <v>-5209.32</v>
      </c>
      <c r="D66" s="50" t="n">
        <f aca="false">IFERROR(C66/B66-1,"")</f>
        <v>-0.29240423797881</v>
      </c>
    </row>
    <row r="68" customFormat="false" ht="13.5" hidden="false" customHeight="true" outlineLevel="0" collapsed="false">
      <c r="A68" s="54" t="s">
        <v>157</v>
      </c>
    </row>
    <row r="69" customFormat="false" ht="15" hidden="false" customHeight="true" outlineLevel="0" collapsed="false">
      <c r="A69" s="28" t="s">
        <v>158</v>
      </c>
      <c r="B69" s="47" t="n">
        <f aca="false">Cash_Flow_Statement!E42</f>
        <v>53</v>
      </c>
      <c r="C69" s="47" t="n">
        <f aca="false">Assumptions_FY2025!B46</f>
        <v>0</v>
      </c>
      <c r="D69" s="34" t="n">
        <f aca="false">IFERROR(C69/B69-1,"")</f>
        <v>-1</v>
      </c>
    </row>
    <row r="70" customFormat="false" ht="15" hidden="false" customHeight="true" outlineLevel="0" collapsed="false">
      <c r="A70" s="48" t="s">
        <v>159</v>
      </c>
      <c r="B70" s="49" t="n">
        <f aca="false">Cash_Flow_Statement!E43</f>
        <v>742</v>
      </c>
      <c r="C70" s="31" t="n">
        <f aca="false">C47+C56+C66+C69</f>
        <v>3681.55769536</v>
      </c>
      <c r="D70" s="50" t="n">
        <f aca="false">IFERROR(C70/B70-1,"")</f>
        <v>3.96166805304582</v>
      </c>
    </row>
    <row r="71" customFormat="false" ht="15" hidden="false" customHeight="true" outlineLevel="0" collapsed="false">
      <c r="A71" s="28" t="s">
        <v>160</v>
      </c>
      <c r="B71" s="47" t="n">
        <f aca="false">Cash_Flow_Statement!E44</f>
        <v>4816</v>
      </c>
      <c r="C71" s="47" t="n">
        <f aca="false">Cash_Flow_Statement!E45</f>
        <v>5558</v>
      </c>
      <c r="D71" s="34" t="n">
        <f aca="false">IFERROR(C71/B71-1,"")</f>
        <v>0.154069767441861</v>
      </c>
    </row>
    <row r="72" customFormat="false" ht="15" hidden="false" customHeight="true" outlineLevel="0" collapsed="false">
      <c r="A72" s="48" t="s">
        <v>161</v>
      </c>
      <c r="B72" s="49" t="n">
        <f aca="false">Cash_Flow_Statement!E45</f>
        <v>5558</v>
      </c>
      <c r="C72" s="31" t="n">
        <f aca="false">C70+C71</f>
        <v>9239.55769536</v>
      </c>
      <c r="D72" s="50" t="n">
        <f aca="false">IFERROR(C72/B72-1,"")</f>
        <v>0.662388934033825</v>
      </c>
    </row>
    <row r="74" customFormat="false" ht="13.5" hidden="false" customHeight="true" outlineLevel="0" collapsed="false">
      <c r="A74" s="54" t="s">
        <v>164</v>
      </c>
    </row>
    <row r="75" customFormat="false" ht="15" hidden="false" customHeight="true" outlineLevel="0" collapsed="false">
      <c r="A75" s="48" t="s">
        <v>166</v>
      </c>
      <c r="B75" s="49" t="n">
        <f aca="false">Cash_Flow_Statement!E51</f>
        <v>10712</v>
      </c>
      <c r="C75" s="31" t="n">
        <f aca="false">C47+C50+C51</f>
        <v>9455.44541536</v>
      </c>
      <c r="D75" s="50" t="n">
        <f aca="false">IFERROR(C75/B75-1,"")</f>
        <v>-0.117303452636296</v>
      </c>
    </row>
    <row r="76" customFormat="false" ht="15" hidden="false" customHeight="true" outlineLevel="0" collapsed="false">
      <c r="A76" s="28" t="s">
        <v>275</v>
      </c>
      <c r="B76" s="51" t="n">
        <f aca="false">IFERROR(B75/B5,"")</f>
        <v>0.117258138669352</v>
      </c>
      <c r="C76" s="34" t="n">
        <f aca="false">IFERROR(C75/C5,"")</f>
        <v>0.100488693353138</v>
      </c>
    </row>
    <row r="78" customFormat="false" ht="30" hidden="false" customHeight="true" outlineLevel="0" collapsed="false">
      <c r="A78" s="36" t="s">
        <v>276</v>
      </c>
    </row>
    <row r="79" customFormat="false" ht="30" hidden="false" customHeight="true" outlineLevel="0" collapsed="false">
      <c r="A79" s="36" t="s">
        <v>277</v>
      </c>
    </row>
    <row r="80" customFormat="false" ht="30" hidden="false" customHeight="true" outlineLevel="0" collapsed="false">
      <c r="A80" s="36" t="s">
        <v>278</v>
      </c>
    </row>
    <row r="81" customFormat="false" ht="45" hidden="false" customHeight="true" outlineLevel="0" collapsed="false">
      <c r="A81" s="36" t="s">
        <v>279</v>
      </c>
    </row>
    <row r="82" customFormat="false" ht="42.75" hidden="false" customHeight="true" outlineLevel="0" collapsed="false">
      <c r="A82" s="36" t="s">
        <v>280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2026-09-26T17:47:09Z</dcterms:created>
  <dc:creator>openpyxl</dc:creator>
  <dc:description/>
  <dc:language>en-US</dc:language>
  <cp:lastModifiedBy>(Student) Dang, Thanh Vinh</cp:lastModifiedBy>
  <dcterms:modified xsi:type="dcterms:W3CDTF">2026-09-26T19:32:28Z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